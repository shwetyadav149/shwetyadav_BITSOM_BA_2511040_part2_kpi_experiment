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bits course\cp final\part 2\"/>
    </mc:Choice>
  </mc:AlternateContent>
  <xr:revisionPtr revIDLastSave="0" documentId="8_{A11F6082-1AF9-4051-B014-E4DD31C1E675}" xr6:coauthVersionLast="47" xr6:coauthVersionMax="47" xr10:uidLastSave="{00000000-0000-0000-0000-000000000000}"/>
  <bookViews>
    <workbookView xWindow="-96" yWindow="0" windowWidth="14016" windowHeight="12336" firstSheet="4" activeTab="4" xr2:uid="{00000000-000D-0000-FFFF-FFFF00000000}"/>
  </bookViews>
  <sheets>
    <sheet name="experiment_data" sheetId="1" r:id="rId1"/>
    <sheet name="Data_Quality_Check" sheetId="3" r:id="rId2"/>
    <sheet name="Summary_Metrics" sheetId="4" r:id="rId3"/>
    <sheet name="Segment_Analysis" sheetId="5" r:id="rId4"/>
    <sheet name="Region Conversion Analysis" sheetId="6" r:id="rId5"/>
    <sheet name="Device Type Conversion Analysis" sheetId="7" r:id="rId6"/>
    <sheet name="Traffic Source Conversion Analy" sheetId="8" r:id="rId7"/>
    <sheet name="Plan Type Conversion Analysis" sheetId="9" r:id="rId8"/>
    <sheet name="business_context" sheetId="2" r:id="rId9"/>
  </sheets>
  <calcPr calcId="191029"/>
  <pivotCaches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5" l="1"/>
  <c r="D17" i="5"/>
  <c r="D15" i="5"/>
  <c r="D11" i="5"/>
  <c r="D8" i="5"/>
  <c r="D5" i="5"/>
  <c r="D2" i="5"/>
  <c r="A8" i="5"/>
  <c r="A6" i="5"/>
  <c r="A4" i="5"/>
  <c r="A2" i="5"/>
  <c r="E12" i="4"/>
  <c r="C12" i="4"/>
  <c r="E11" i="4"/>
  <c r="C11" i="4"/>
  <c r="E10" i="4"/>
  <c r="C10" i="4"/>
  <c r="E9" i="4"/>
  <c r="C9" i="4"/>
  <c r="E8" i="4"/>
  <c r="C8" i="4"/>
  <c r="E7" i="4"/>
  <c r="C7" i="4"/>
  <c r="E6" i="4"/>
  <c r="C6" i="4"/>
  <c r="E5" i="4"/>
  <c r="C5" i="4"/>
  <c r="E4" i="4"/>
  <c r="C4" i="4"/>
  <c r="E3" i="4"/>
  <c r="C3" i="4"/>
  <c r="E2" i="4"/>
  <c r="C2" i="4"/>
  <c r="B17" i="3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2" i="1"/>
  <c r="E6" i="3"/>
  <c r="E5" i="3"/>
  <c r="E4" i="3"/>
  <c r="E3" i="3"/>
  <c r="E2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1" i="3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S140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V2" i="1"/>
  <c r="U2" i="1"/>
  <c r="T2" i="1"/>
  <c r="S2" i="1"/>
  <c r="R2" i="1"/>
  <c r="Q2" i="1"/>
</calcChain>
</file>

<file path=xl/sharedStrings.xml><?xml version="1.0" encoding="utf-8"?>
<sst xmlns="http://schemas.openxmlformats.org/spreadsheetml/2006/main" count="8550" uniqueCount="1509">
  <si>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</si>
  <si>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</si>
  <si>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</si>
  <si>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</si>
  <si>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</si>
  <si>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</si>
  <si>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</si>
  <si>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</si>
  <si>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</si>
  <si>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</si>
  <si>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</si>
  <si>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</si>
  <si>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</si>
  <si>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</si>
  <si>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</si>
  <si>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</si>
  <si>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</si>
  <si>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</si>
  <si>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</si>
  <si>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</si>
  <si>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</si>
  <si>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</si>
  <si>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</si>
  <si>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</si>
  <si>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</si>
  <si>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</si>
  <si>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</si>
  <si>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</si>
  <si>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</si>
  <si>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</si>
  <si>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</si>
  <si>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</si>
  <si>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</si>
  <si>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</si>
  <si>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</si>
  <si>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</si>
  <si>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</si>
  <si>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</si>
  <si>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</si>
  <si>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</si>
  <si>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</si>
  <si>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</si>
  <si>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</si>
  <si>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</si>
  <si>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</si>
  <si>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</si>
  <si>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</si>
  <si>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</si>
  <si>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</si>
  <si>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</si>
  <si>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</si>
  <si>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</si>
  <si>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</si>
  <si>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</si>
  <si>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</si>
  <si>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</si>
  <si>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</si>
  <si>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</si>
  <si>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</si>
  <si>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</si>
  <si>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</si>
  <si>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</si>
  <si>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</si>
  <si>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</si>
  <si>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</si>
  <si>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</si>
  <si>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</si>
  <si>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</si>
  <si>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</si>
  <si>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</si>
  <si>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</si>
  <si>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</si>
  <si>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</si>
  <si>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</si>
  <si>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</si>
  <si>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</si>
  <si>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</si>
  <si>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</si>
  <si>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</si>
  <si>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</si>
  <si>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</si>
  <si>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</si>
  <si>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</si>
  <si>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</si>
  <si>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</si>
  <si>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</si>
  <si>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</si>
  <si>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</si>
  <si>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</si>
  <si>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</si>
  <si>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</si>
  <si>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</si>
  <si>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</si>
  <si>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</si>
  <si>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</si>
  <si>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</si>
  <si>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</si>
  <si>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</si>
  <si>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</si>
  <si>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</si>
  <si>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</si>
  <si>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</si>
  <si>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</si>
  <si>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</si>
  <si>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</si>
  <si>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</si>
  <si>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</si>
  <si>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</si>
  <si>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</si>
  <si>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</si>
  <si>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</si>
  <si>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</si>
  <si>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</si>
  <si>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</si>
  <si>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</si>
  <si>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</si>
  <si>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</si>
  <si>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</si>
  <si>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</si>
  <si>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</si>
  <si>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</si>
  <si>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</si>
  <si>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</si>
  <si>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</si>
  <si>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</si>
  <si>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</si>
  <si>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</si>
  <si>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</si>
  <si>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</si>
  <si>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</si>
  <si>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</si>
  <si>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</si>
  <si>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</si>
  <si>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</si>
  <si>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</si>
  <si>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</si>
  <si>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</si>
  <si>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</si>
  <si>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</si>
  <si>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</si>
  <si>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</si>
  <si>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</si>
  <si>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</si>
  <si>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</si>
  <si>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</si>
  <si>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</si>
  <si>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</si>
  <si>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</si>
  <si>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</si>
  <si>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</si>
  <si>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</si>
  <si>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</si>
  <si>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</si>
  <si>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</si>
  <si>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</si>
  <si>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</si>
  <si>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</si>
  <si>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</si>
  <si>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</si>
  <si>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</si>
  <si>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</si>
  <si>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</si>
  <si>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</si>
  <si>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</si>
  <si>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</si>
  <si>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</si>
  <si>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</si>
  <si>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</si>
  <si>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</si>
  <si>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</si>
  <si>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</si>
  <si>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</si>
  <si>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</si>
  <si>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</si>
  <si>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</si>
  <si>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</si>
  <si>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</si>
  <si>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</si>
  <si>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</si>
  <si>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</si>
  <si>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</si>
  <si>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</si>
  <si>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</si>
  <si>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</si>
  <si>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</si>
  <si>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</si>
  <si>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</si>
  <si>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</si>
  <si>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</si>
  <si>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</si>
  <si>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</si>
  <si>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</si>
  <si>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</si>
  <si>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</si>
  <si>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</si>
  <si>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</si>
  <si>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</si>
  <si>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</si>
  <si>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</si>
  <si>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</si>
  <si>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</si>
  <si>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</si>
  <si>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</si>
  <si>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</si>
  <si>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</si>
  <si>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</si>
  <si>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</si>
  <si>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</si>
  <si>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</si>
  <si>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</si>
  <si>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</si>
  <si>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</si>
  <si>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</si>
  <si>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</si>
  <si>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</si>
  <si>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</si>
  <si>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</si>
  <si>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</si>
  <si>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</si>
  <si>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</si>
  <si>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</si>
  <si>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</si>
  <si>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</si>
  <si>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</si>
  <si>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</si>
  <si>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</si>
  <si>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</si>
  <si>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</si>
  <si>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</si>
  <si>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</si>
  <si>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</si>
  <si>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</si>
  <si>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</si>
  <si>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</si>
  <si>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</si>
  <si>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</si>
  <si>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</si>
  <si>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</si>
  <si>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</si>
  <si>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</si>
  <si>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</si>
  <si>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</si>
  <si>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</si>
  <si>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</si>
  <si>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</si>
  <si>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</si>
  <si>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</si>
  <si>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</si>
  <si>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</si>
  <si>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</si>
  <si>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</si>
  <si>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</si>
  <si>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</si>
  <si>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</si>
  <si>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</si>
  <si>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</si>
  <si>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</si>
  <si>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</si>
  <si>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</si>
  <si>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</si>
  <si>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</si>
  <si>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</si>
  <si>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</si>
  <si>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</si>
  <si>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</si>
  <si>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</si>
  <si>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</si>
  <si>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</si>
  <si>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</si>
  <si>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</si>
  <si>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</si>
  <si>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</si>
  <si>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</si>
  <si>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</si>
  <si>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</si>
  <si>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</si>
  <si>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</si>
  <si>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</si>
  <si>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</si>
  <si>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</si>
  <si>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</si>
  <si>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</si>
  <si>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</si>
  <si>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</si>
  <si>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</si>
  <si>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</si>
  <si>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</si>
  <si>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</si>
  <si>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</si>
  <si>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</si>
  <si>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</si>
  <si>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</si>
  <si>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</si>
  <si>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</si>
  <si>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</si>
  <si>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</si>
  <si>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</si>
  <si>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</si>
  <si>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</si>
  <si>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</si>
  <si>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</si>
  <si>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</si>
  <si>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</si>
  <si>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</si>
  <si>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</si>
  <si>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</si>
  <si>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</si>
  <si>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</si>
  <si>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</si>
  <si>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</si>
  <si>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</si>
  <si>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</si>
  <si>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</si>
  <si>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</si>
  <si>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</si>
  <si>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</si>
  <si>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</si>
  <si>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</si>
  <si>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</si>
  <si>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</si>
  <si>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</si>
  <si>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</si>
  <si>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</si>
  <si>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</si>
  <si>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</si>
  <si>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</si>
  <si>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</si>
  <si>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</si>
  <si>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</si>
  <si>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</si>
  <si>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</si>
  <si>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</si>
  <si>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</si>
  <si>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</si>
  <si>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</si>
  <si>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</si>
  <si>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</si>
  <si>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</si>
  <si>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</si>
  <si>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</si>
  <si>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</si>
  <si>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</si>
  <si>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</si>
  <si>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</si>
  <si>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</si>
  <si>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</si>
  <si>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</si>
  <si>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</si>
  <si>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</si>
  <si>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</si>
  <si>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</si>
  <si>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</si>
  <si>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</si>
  <si>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</si>
  <si>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</si>
  <si>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</si>
  <si>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</si>
  <si>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</si>
  <si>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</si>
  <si>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</si>
  <si>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</si>
  <si>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</si>
  <si>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</si>
  <si>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</si>
  <si>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</si>
  <si>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</si>
  <si>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</si>
  <si>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</si>
  <si>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</si>
  <si>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</si>
  <si>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</si>
  <si>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</si>
  <si>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</si>
  <si>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</si>
  <si>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</si>
  <si>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</si>
  <si>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</si>
  <si>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</si>
  <si>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</si>
  <si>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</si>
  <si>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</si>
  <si>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</si>
  <si>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</si>
  <si>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</si>
  <si>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</si>
  <si>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</si>
  <si>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</si>
  <si>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</si>
  <si>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</si>
  <si>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</si>
  <si>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</si>
  <si>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</si>
  <si>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</si>
  <si>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</si>
  <si>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</si>
  <si>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</si>
  <si>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</si>
  <si>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</si>
  <si>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</si>
  <si>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</si>
  <si>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</si>
  <si>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</si>
  <si>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</si>
  <si>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</si>
  <si>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</si>
  <si>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</si>
  <si>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</si>
  <si>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</si>
  <si>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</si>
  <si>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</si>
  <si>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</si>
  <si>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</si>
  <si>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</si>
  <si>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</si>
  <si>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</si>
  <si>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</si>
  <si>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</si>
  <si>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</si>
  <si>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</si>
  <si>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</si>
  <si>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</si>
  <si>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</si>
  <si>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</si>
  <si>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</si>
  <si>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</si>
  <si>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</si>
  <si>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</si>
  <si>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</si>
  <si>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</si>
  <si>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</si>
  <si>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</si>
  <si>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</si>
  <si>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</si>
  <si>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</si>
  <si>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</si>
  <si>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</si>
  <si>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</si>
  <si>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</si>
  <si>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</si>
  <si>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</si>
  <si>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</si>
  <si>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</si>
  <si>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</si>
  <si>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</si>
  <si>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</si>
  <si>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</si>
  <si>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</si>
  <si>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</si>
  <si>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</si>
  <si>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</si>
  <si>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</si>
  <si>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</si>
  <si>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</si>
  <si>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</si>
  <si>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</si>
  <si>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</si>
  <si>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</si>
  <si>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</si>
  <si>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</si>
  <si>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</si>
  <si>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</si>
  <si>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</si>
  <si>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</si>
  <si>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</si>
  <si>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</si>
  <si>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</si>
  <si>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</si>
  <si>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</si>
  <si>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</si>
  <si>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</si>
  <si>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</si>
  <si>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</si>
  <si>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</si>
  <si>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</si>
  <si>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</si>
  <si>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</si>
  <si>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</si>
  <si>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</si>
  <si>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</si>
  <si>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</si>
  <si>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</si>
  <si>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</si>
  <si>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</si>
  <si>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</si>
  <si>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</si>
  <si>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</si>
  <si>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</si>
  <si>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</si>
  <si>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</si>
  <si>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</si>
  <si>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</si>
  <si>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</si>
  <si>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</si>
  <si>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</si>
  <si>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</si>
  <si>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</si>
  <si>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</si>
  <si>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</si>
  <si>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</si>
  <si>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</si>
  <si>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</si>
  <si>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</si>
  <si>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</si>
  <si>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</si>
  <si>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</si>
  <si>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</si>
  <si>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</si>
  <si>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</si>
  <si>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</si>
  <si>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</si>
  <si>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</si>
  <si>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</si>
  <si>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</si>
  <si>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</si>
  <si>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</si>
  <si>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</si>
  <si>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</si>
  <si>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</si>
  <si>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</si>
  <si>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</si>
  <si>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</si>
  <si>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</si>
  <si>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</si>
  <si>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</si>
  <si>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</si>
  <si>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</si>
  <si>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</si>
  <si>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</si>
  <si>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</si>
  <si>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</si>
  <si>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</si>
  <si>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</si>
  <si>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</si>
  <si>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</si>
  <si>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</si>
  <si>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</si>
  <si>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</si>
  <si>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</si>
  <si>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</si>
  <si>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</si>
  <si>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</si>
  <si>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</si>
  <si>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</si>
  <si>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</si>
  <si>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</si>
  <si>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</si>
  <si>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</si>
  <si>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</si>
  <si>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</si>
  <si>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</si>
  <si>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</si>
  <si>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</si>
  <si>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</si>
  <si>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</si>
  <si>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</si>
  <si>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</si>
  <si>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</si>
  <si>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</si>
  <si>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</si>
  <si>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</si>
  <si>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</si>
  <si>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</si>
  <si>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</si>
  <si>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</si>
  <si>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</si>
  <si>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</si>
  <si>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</si>
  <si>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</si>
  <si>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</si>
  <si>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</si>
  <si>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</si>
  <si>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</si>
  <si>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</si>
  <si>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</si>
  <si>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</si>
  <si>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</si>
  <si>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</si>
  <si>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</si>
  <si>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</si>
  <si>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</si>
  <si>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</si>
  <si>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</si>
  <si>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</si>
  <si>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</si>
  <si>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</si>
  <si>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</si>
  <si>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</si>
  <si>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</si>
  <si>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</si>
  <si>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</si>
  <si>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</si>
  <si>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</si>
  <si>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</si>
  <si>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</si>
  <si>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</si>
  <si>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</si>
  <si>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</si>
  <si>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</si>
  <si>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</si>
  <si>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</si>
  <si>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</si>
  <si>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</si>
  <si>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</si>
  <si>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</si>
  <si>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</si>
  <si>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</si>
  <si>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</si>
  <si>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</si>
  <si>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</si>
  <si>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</si>
  <si>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</si>
  <si>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</si>
  <si>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</si>
  <si>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</si>
  <si>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</si>
  <si>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</si>
  <si>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</si>
  <si>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</si>
  <si>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</si>
  <si>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</si>
  <si>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</si>
  <si>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</si>
  <si>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</si>
  <si>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</si>
  <si>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</si>
  <si>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</si>
  <si>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</si>
  <si>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</si>
  <si>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</si>
  <si>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</si>
  <si>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</si>
  <si>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</si>
  <si>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</si>
  <si>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</si>
  <si>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</si>
  <si>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</si>
  <si>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</si>
  <si>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</si>
  <si>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</si>
  <si>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</si>
  <si>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</si>
  <si>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</si>
  <si>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</si>
  <si>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</si>
  <si>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</si>
  <si>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</si>
  <si>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</si>
  <si>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</si>
  <si>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</si>
  <si>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</si>
  <si>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</si>
  <si>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</si>
  <si>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</si>
  <si>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</si>
  <si>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</si>
  <si>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</si>
  <si>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</si>
  <si>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</si>
  <si>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</si>
  <si>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</si>
  <si>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</si>
  <si>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</si>
  <si>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</si>
  <si>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</si>
  <si>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</si>
  <si>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</si>
  <si>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</si>
  <si>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</si>
  <si>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</si>
  <si>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</si>
  <si>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</si>
  <si>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</si>
  <si>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</si>
  <si>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</si>
  <si>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</si>
  <si>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</si>
  <si>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</si>
  <si>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</si>
  <si>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</si>
  <si>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</si>
  <si>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</si>
  <si>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</si>
  <si>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</si>
  <si>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</si>
  <si>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</si>
  <si>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</si>
  <si>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</si>
  <si>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</si>
  <si>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</si>
  <si>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</si>
  <si>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</si>
  <si>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</si>
  <si>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</si>
  <si>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</si>
  <si>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</si>
  <si>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</si>
  <si>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</si>
  <si>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</si>
  <si>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</si>
  <si>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</si>
  <si>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</si>
  <si>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</si>
  <si>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</si>
  <si>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</si>
  <si>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</si>
  <si>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</si>
  <si>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</si>
  <si>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</si>
  <si>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</si>
  <si>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</si>
  <si>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</si>
  <si>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</si>
  <si>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</si>
  <si>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</si>
  <si>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</si>
  <si>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</si>
  <si>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</si>
  <si>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</si>
  <si>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</si>
  <si>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</si>
  <si>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</si>
  <si>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</si>
  <si>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</si>
  <si>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</si>
  <si>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</si>
  <si>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</si>
  <si>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</si>
  <si>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</si>
  <si>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</si>
  <si>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</si>
  <si>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</si>
  <si>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</si>
  <si>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</si>
  <si>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</si>
  <si>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</si>
  <si>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</si>
  <si>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</si>
  <si>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</si>
  <si>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</si>
  <si>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</si>
  <si>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</si>
  <si>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</si>
  <si>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</si>
  <si>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</si>
  <si>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</si>
  <si>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</si>
  <si>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</si>
  <si>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</si>
  <si>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</si>
  <si>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</si>
  <si>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</si>
  <si>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</si>
  <si>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</si>
  <si>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</si>
  <si>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</si>
  <si>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</si>
  <si>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</si>
  <si>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</si>
  <si>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</si>
  <si>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</si>
  <si>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</si>
  <si>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</si>
  <si>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</si>
  <si>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</si>
  <si>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</si>
  <si>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</si>
  <si>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</si>
  <si>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</si>
  <si>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</si>
  <si>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</si>
  <si>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</si>
  <si>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</si>
  <si>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</si>
  <si>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</si>
  <si>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</si>
  <si>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</si>
  <si>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</si>
  <si>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</si>
  <si>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</si>
  <si>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</si>
  <si>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</si>
  <si>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</si>
  <si>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</si>
  <si>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</si>
  <si>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</si>
  <si>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</si>
  <si>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</si>
  <si>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</si>
  <si>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</si>
  <si>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</si>
  <si>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</si>
  <si>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</si>
  <si>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</si>
  <si>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</si>
  <si>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</si>
  <si>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</si>
  <si>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</si>
  <si>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</si>
  <si>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</si>
  <si>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</si>
  <si>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</si>
  <si>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</si>
  <si>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</si>
  <si>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</si>
  <si>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</si>
  <si>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</si>
  <si>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</si>
  <si>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</si>
  <si>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</si>
  <si>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</si>
  <si>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</si>
  <si>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</si>
  <si>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</si>
  <si>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</si>
  <si>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</si>
  <si>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</si>
  <si>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</si>
  <si>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</si>
  <si>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</si>
  <si>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</si>
  <si>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</si>
  <si>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</si>
  <si>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</si>
  <si>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</si>
  <si>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</si>
  <si>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</si>
  <si>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</si>
  <si>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</si>
  <si>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</si>
  <si>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</si>
  <si>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</si>
  <si>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</si>
  <si>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</si>
  <si>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</si>
  <si>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</si>
  <si>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</si>
  <si>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</si>
  <si>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</si>
  <si>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</si>
  <si>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</si>
  <si>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</si>
  <si>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</si>
  <si>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</si>
  <si>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</si>
  <si>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</si>
  <si>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</si>
  <si>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</si>
  <si>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</si>
  <si>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</si>
  <si>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</si>
  <si>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</si>
  <si>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</si>
  <si>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</si>
  <si>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</si>
  <si>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</si>
  <si>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</si>
  <si>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</si>
  <si>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</si>
  <si>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</si>
  <si>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</si>
  <si>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</si>
  <si>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</si>
  <si>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</si>
  <si>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</si>
  <si>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</si>
  <si>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</si>
  <si>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</si>
  <si>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</si>
  <si>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</si>
  <si>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</si>
  <si>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</si>
  <si>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</si>
  <si>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</si>
  <si>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</si>
  <si>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</si>
  <si>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</si>
  <si>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</si>
  <si>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</si>
  <si>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</si>
  <si>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</si>
  <si>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</si>
  <si>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</si>
  <si>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</si>
  <si>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</si>
  <si>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</si>
  <si>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</si>
  <si>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</si>
  <si>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</si>
  <si>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</si>
  <si>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</si>
  <si>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</si>
  <si>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</si>
  <si>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</si>
  <si>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</si>
  <si>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</si>
  <si>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</si>
  <si>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</si>
  <si>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</si>
  <si>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</si>
  <si>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</si>
  <si>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</si>
  <si>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</si>
  <si>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</si>
  <si>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</si>
  <si>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</si>
  <si>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</si>
  <si>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</si>
  <si>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</si>
  <si>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</si>
  <si>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</si>
  <si>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</si>
  <si>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</si>
  <si>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</si>
  <si>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</si>
  <si>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</si>
  <si>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</si>
  <si>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</si>
  <si>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</si>
  <si>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</si>
  <si>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</si>
  <si>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</si>
  <si>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</si>
  <si>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</si>
  <si>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</si>
  <si>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</si>
  <si>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</si>
  <si>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</si>
  <si>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</si>
  <si>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</si>
  <si>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</si>
  <si>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</si>
  <si>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</si>
  <si>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</si>
  <si>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</si>
  <si>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</si>
  <si>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</si>
  <si>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</si>
  <si>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</si>
  <si>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</si>
  <si>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</si>
  <si>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</si>
  <si>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</si>
  <si>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</si>
  <si>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</si>
  <si>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</si>
  <si>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</si>
  <si>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</si>
  <si>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</si>
  <si>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</si>
  <si>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</si>
  <si>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</si>
  <si>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</si>
  <si>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</si>
  <si>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</si>
  <si>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</si>
  <si>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</si>
  <si>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</si>
  <si>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</si>
  <si>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</si>
  <si>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</si>
  <si>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</si>
  <si>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</si>
  <si>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</si>
  <si>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</si>
  <si>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</si>
  <si>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</si>
  <si>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</si>
  <si>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</si>
  <si>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</si>
  <si>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</si>
  <si>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</si>
  <si>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</si>
  <si>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</si>
  <si>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</si>
  <si>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</si>
  <si>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</si>
  <si>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</si>
  <si>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</si>
  <si>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</si>
  <si>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</si>
  <si>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</si>
  <si>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</si>
  <si>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</si>
  <si>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</si>
  <si>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</si>
  <si>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</si>
  <si>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</si>
  <si>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</si>
  <si>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</si>
  <si>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</si>
  <si>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</si>
  <si>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</si>
  <si>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</si>
  <si>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</si>
  <si>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</si>
  <si>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</si>
  <si>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</si>
  <si>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</si>
  <si>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</si>
  <si>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</si>
  <si>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</si>
  <si>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</si>
  <si>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</si>
  <si>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</si>
  <si>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</si>
  <si>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</si>
  <si>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</si>
  <si>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</si>
  <si>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</si>
  <si>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</si>
  <si>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</si>
  <si>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</si>
  <si>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</si>
  <si>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</si>
  <si>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</si>
  <si>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</si>
  <si>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</si>
  <si>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</si>
  <si>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</si>
  <si>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</si>
  <si>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</si>
  <si>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</si>
  <si>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</si>
  <si>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</si>
  <si>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</si>
  <si>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</si>
  <si>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</si>
  <si>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</si>
  <si>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</si>
  <si>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</si>
  <si>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</si>
  <si>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</si>
  <si>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</si>
  <si>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</si>
  <si>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</si>
  <si>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</si>
  <si>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</si>
  <si>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</si>
  <si>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</si>
  <si>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</si>
  <si>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</si>
  <si>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</si>
  <si>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</si>
  <si>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</si>
  <si>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</si>
  <si>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</si>
  <si>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</si>
  <si>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</si>
  <si>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</si>
  <si>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</si>
  <si>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</si>
  <si>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</si>
  <si>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</si>
  <si>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</si>
  <si>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</si>
  <si>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</si>
  <si>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</si>
  <si>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</si>
  <si>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</si>
  <si>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</si>
  <si>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</si>
  <si>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</si>
  <si>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</si>
  <si>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</si>
  <si>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</si>
  <si>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</si>
  <si>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</si>
  <si>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</si>
  <si>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</si>
  <si>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</si>
  <si>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</si>
  <si>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</si>
  <si>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</si>
  <si>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</si>
  <si>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</si>
  <si>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</si>
  <si>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</si>
  <si>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</si>
  <si>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</si>
  <si>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</si>
  <si>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</si>
  <si>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</si>
  <si>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</si>
  <si>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</si>
  <si>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</si>
  <si>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</si>
  <si>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</si>
  <si>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</si>
  <si>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</si>
  <si>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</si>
  <si>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</si>
  <si>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</si>
  <si>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</si>
  <si>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</si>
  <si>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</si>
  <si>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</si>
  <si>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</si>
  <si>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</si>
  <si>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</si>
  <si>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</si>
  <si>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</si>
  <si>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</si>
  <si>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</si>
  <si>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</si>
  <si>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</si>
  <si>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</si>
  <si>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</si>
  <si>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</si>
  <si>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</si>
  <si>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</si>
  <si>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</si>
  <si>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</si>
  <si>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</si>
  <si>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</si>
  <si>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</si>
  <si>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</si>
  <si>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</si>
  <si>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</si>
  <si>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</si>
  <si>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</si>
  <si>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</si>
  <si>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</si>
  <si>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</si>
  <si>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</si>
  <si>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</si>
  <si>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</si>
  <si>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</si>
  <si>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</si>
  <si>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</si>
  <si>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</si>
  <si>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</si>
  <si>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</si>
  <si>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</si>
  <si>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</si>
  <si>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</si>
  <si>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</si>
  <si>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</si>
  <si>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</si>
  <si>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</si>
  <si>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</si>
  <si>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</si>
  <si>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</si>
  <si>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</si>
  <si>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</si>
  <si>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</si>
  <si>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</si>
  <si>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</si>
  <si>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</si>
  <si>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</si>
  <si>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</si>
  <si>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</si>
  <si>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</si>
  <si>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</si>
  <si>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</si>
  <si>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</si>
  <si>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</si>
  <si>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</si>
  <si>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</si>
  <si>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</si>
  <si>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</si>
  <si>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</si>
  <si>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</si>
  <si>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</si>
  <si>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</si>
  <si>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</si>
  <si>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</si>
  <si>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</si>
  <si>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</si>
  <si>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</si>
  <si>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</si>
  <si>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</si>
  <si>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</si>
  <si>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</si>
  <si>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</si>
  <si>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</si>
  <si>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</si>
  <si>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</si>
  <si>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</si>
  <si>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</si>
  <si>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</si>
  <si>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</si>
  <si>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</si>
  <si>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</si>
  <si>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</si>
  <si>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</si>
  <si>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</si>
  <si>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</si>
  <si>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</si>
  <si>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</si>
  <si>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</si>
  <si>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</si>
  <si>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</si>
  <si>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</si>
  <si>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</si>
  <si>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</si>
  <si>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</si>
  <si>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</si>
  <si>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</si>
  <si>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</si>
  <si>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</si>
  <si>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</si>
  <si>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</si>
  <si>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</si>
  <si>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</si>
  <si>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</si>
  <si>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</si>
  <si>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</si>
  <si>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</si>
  <si>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</si>
  <si>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</si>
  <si>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</si>
  <si>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</si>
  <si>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</si>
  <si>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</si>
  <si>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</si>
  <si>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</si>
  <si>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</si>
  <si>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</si>
  <si>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</si>
  <si>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</si>
  <si>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</si>
  <si>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</si>
  <si>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</si>
  <si>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</si>
  <si>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</si>
  <si>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</si>
  <si>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</si>
  <si>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</si>
  <si>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</si>
  <si>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</si>
  <si>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</si>
  <si>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</si>
  <si>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</si>
  <si>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</si>
  <si>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</si>
  <si>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</si>
  <si>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</si>
  <si>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</si>
  <si>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</si>
  <si>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</si>
  <si>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</si>
  <si>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</si>
  <si>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</si>
  <si>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</si>
  <si>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</si>
  <si>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</si>
  <si>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</si>
  <si>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</si>
  <si>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</si>
  <si>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</si>
  <si>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</si>
  <si>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</si>
  <si>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</si>
  <si>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</si>
  <si>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</si>
  <si>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</si>
  <si>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</si>
  <si>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</si>
  <si>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</si>
  <si>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</si>
  <si>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</si>
  <si>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</si>
  <si>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</si>
  <si>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</si>
  <si>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</si>
  <si>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</si>
  <si>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</si>
  <si>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</si>
  <si>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</si>
  <si>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</si>
  <si>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</si>
  <si>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</si>
  <si>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</si>
  <si>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</si>
  <si>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</si>
  <si>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</si>
  <si>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</si>
  <si>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</si>
  <si>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</si>
  <si>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</si>
  <si>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</si>
  <si>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</si>
  <si>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</si>
  <si>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</si>
  <si>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</si>
  <si>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</si>
  <si>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</si>
  <si>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</si>
  <si>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</si>
  <si>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</si>
  <si>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</si>
  <si>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</si>
  <si>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</si>
  <si>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</si>
  <si>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</si>
  <si>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</si>
  <si>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</si>
  <si>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</si>
  <si>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</si>
  <si>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</si>
  <si>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</si>
  <si>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</si>
  <si>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</si>
  <si>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</si>
  <si>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</si>
  <si>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</si>
  <si>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</si>
  <si>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</si>
  <si>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</si>
  <si>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</si>
  <si>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</si>
  <si>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</si>
  <si>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</si>
  <si>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</si>
  <si>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</si>
  <si>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</si>
  <si>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</si>
  <si>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</si>
  <si>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</si>
  <si>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</si>
  <si>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</si>
  <si>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</si>
  <si>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</si>
  <si>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</si>
  <si>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</si>
  <si>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</si>
  <si>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</si>
  <si>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</si>
  <si>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</si>
  <si>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</si>
  <si>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</si>
  <si>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</si>
  <si>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</si>
  <si>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</si>
  <si>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</si>
  <si>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</si>
  <si>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</si>
  <si>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</si>
  <si>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</si>
  <si>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</si>
  <si>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</si>
  <si>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</si>
  <si>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</si>
  <si>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</si>
  <si>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</si>
  <si>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</si>
  <si>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</si>
  <si>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</si>
  <si>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</si>
  <si>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</si>
  <si>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</si>
  <si>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</si>
  <si>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</si>
  <si>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</si>
  <si>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</si>
  <si>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</si>
  <si>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</si>
  <si>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</si>
  <si>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</si>
  <si>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</si>
  <si>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</si>
  <si>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</si>
  <si>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</si>
  <si>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</si>
  <si>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</si>
  <si>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</si>
  <si>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</si>
  <si>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</si>
  <si>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</si>
  <si>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</si>
  <si>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</si>
  <si>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</si>
  <si>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</si>
  <si>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</si>
  <si>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</si>
  <si>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</si>
  <si>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</si>
  <si>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</si>
  <si>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</si>
  <si>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</si>
  <si>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</si>
  <si>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</si>
  <si>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</si>
  <si>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</si>
  <si>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</si>
  <si>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</si>
  <si>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</si>
  <si>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</si>
  <si>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</si>
  <si>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</si>
  <si>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</si>
  <si>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</si>
  <si>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</si>
  <si>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</si>
  <si>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</si>
  <si>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</si>
  <si>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</si>
  <si>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</si>
  <si>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</si>
  <si>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</si>
  <si>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</si>
  <si>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</si>
  <si>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</si>
  <si>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</si>
  <si>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</si>
  <si>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</si>
  <si>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</si>
  <si>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</si>
  <si>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</si>
  <si>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</si>
  <si>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</si>
  <si>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</si>
  <si>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</si>
  <si>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</si>
  <si>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</si>
  <si>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</si>
  <si>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</si>
  <si>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</si>
  <si>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</si>
  <si>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</si>
  <si>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</si>
  <si>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</si>
  <si>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</si>
  <si>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</si>
  <si>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</si>
  <si>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</si>
  <si>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</si>
  <si>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</si>
  <si>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</si>
  <si>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</si>
  <si>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</si>
  <si>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</si>
  <si>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</si>
  <si>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</si>
  <si>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</si>
  <si>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</si>
  <si>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</si>
  <si>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</si>
  <si>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</si>
  <si>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</si>
  <si>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</si>
  <si>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</si>
  <si>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</si>
  <si>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</si>
  <si>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</si>
  <si>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</si>
  <si>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</si>
  <si>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</si>
  <si>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</si>
  <si>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</si>
  <si>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</si>
  <si>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Landing Validation</t>
  </si>
  <si>
    <t>Trial Validation</t>
  </si>
  <si>
    <t>duplicate_check</t>
  </si>
  <si>
    <t>Onboarding Validation</t>
  </si>
  <si>
    <t>Conversion Validation</t>
  </si>
  <si>
    <t>Refund Validation</t>
  </si>
  <si>
    <t>Total Users</t>
  </si>
  <si>
    <t>Control Group Users</t>
  </si>
  <si>
    <t>Treatment Group Users</t>
  </si>
  <si>
    <t>Missing User IDs</t>
  </si>
  <si>
    <t>Missing Region</t>
  </si>
  <si>
    <t>Missing Device Type</t>
  </si>
  <si>
    <t>Missing Traffic Source</t>
  </si>
  <si>
    <t>Missing Plan Type</t>
  </si>
  <si>
    <t>Missing Revenue</t>
  </si>
  <si>
    <t>Missing Days to Convert</t>
  </si>
  <si>
    <t>Missing Engagement Score</t>
  </si>
  <si>
    <t>Count duplicates:</t>
  </si>
  <si>
    <t>Trial Count invalid:</t>
  </si>
  <si>
    <t>Onboarding Count invalid:</t>
  </si>
  <si>
    <t>Conversion Count invalid:</t>
  </si>
  <si>
    <t>Refund Count invalid:</t>
  </si>
  <si>
    <t>Revenue Outlier Detection</t>
  </si>
  <si>
    <t>Q1</t>
  </si>
  <si>
    <t>Q3</t>
  </si>
  <si>
    <t>IQR</t>
  </si>
  <si>
    <t>Lower Bound</t>
  </si>
  <si>
    <t>Upper Bound</t>
  </si>
  <si>
    <t>revenue_outlier_check</t>
  </si>
  <si>
    <t>Revenue Count outliers: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</si>
  <si>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</si>
  <si>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</si>
  <si>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</si>
  <si>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</si>
  <si>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</si>
  <si>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</si>
  <si>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 (ARPU)</t>
  </si>
  <si>
    <t>Average Revenue Per Converted User</t>
  </si>
  <si>
    <t>Refund Rate</t>
  </si>
  <si>
    <t>Support Ticket Rate</t>
  </si>
  <si>
    <t>Average Engagement Score</t>
  </si>
  <si>
    <t>Average Days to Convert</t>
  </si>
  <si>
    <t>Control Conversions</t>
  </si>
  <si>
    <t>Treatment Conversions</t>
  </si>
  <si>
    <t>Control Users</t>
  </si>
  <si>
    <t>Treatment Users</t>
  </si>
  <si>
    <t>Control Conversion Rate</t>
  </si>
  <si>
    <t>Treatment Conversion Rate</t>
  </si>
  <si>
    <t>Pooled Conversion Rate</t>
  </si>
  <si>
    <t>Standard Error</t>
  </si>
  <si>
    <t>Z Score</t>
  </si>
  <si>
    <t>P Value</t>
  </si>
  <si>
    <t>Decision</t>
  </si>
  <si>
    <t>Row Labels</t>
  </si>
  <si>
    <t>Grand Total</t>
  </si>
  <si>
    <t>Column Labels</t>
  </si>
  <si>
    <t>Average of converted_to_paid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</si>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</sst>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 yadav" refreshedDate="46201.659004976849" createdVersion="8" refreshedVersion="8" minRefreshableVersion="3" recordCount="1408" xr:uid="{BE59BBFB-2367-4E7A-8FF4-A57A4320D07C}">
  <cacheSource type="worksheet">
    <worksheetSource ref="A1:W1409" sheet="experiment_data"/>
  </cacheSource>
  <cacheFields count="23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heck" numFmtId="0">
      <sharedItems/>
    </cacheField>
    <cacheField name="Landing Validation" numFmtId="0">
      <sharedItems/>
    </cacheField>
    <cacheField name="Trial Validation" numFmtId="0">
      <sharedItems/>
    </cacheField>
    <cacheField name="Onboarding Validation" numFmtId="0">
      <sharedItems/>
    </cacheField>
    <cacheField name="Conversion Validation" numFmtId="0">
      <sharedItems/>
    </cacheField>
    <cacheField name="Refund Validation" numFmtId="0">
      <sharedItems/>
    </cacheField>
    <cacheField name="revenue_outlier_chec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x v="0"/>
    <n v="0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0002"/>
    <d v="2025-03-08T00:00:00"/>
    <x v="0"/>
    <x v="1"/>
    <x v="1"/>
    <x v="1"/>
    <x v="1"/>
    <n v="1"/>
    <n v="0"/>
    <n v="0"/>
    <n v="0"/>
    <n v="0"/>
    <n v="0"/>
    <n v="0"/>
    <m/>
    <n v="48.6"/>
    <s v="Unique"/>
    <s v="Valid"/>
    <s v="Valid"/>
    <s v="Valid"/>
    <s v="Valid"/>
    <s v="Valid"/>
    <s v="Outlier"/>
  </r>
  <r>
    <s v="USR-100003"/>
    <d v="2025-04-24T00:00:00"/>
    <x v="0"/>
    <x v="2"/>
    <x v="1"/>
    <x v="2"/>
    <x v="2"/>
    <n v="1"/>
    <n v="0"/>
    <n v="0"/>
    <n v="0"/>
    <n v="0"/>
    <n v="1"/>
    <n v="0"/>
    <m/>
    <n v="35.4"/>
    <s v="Unique"/>
    <s v="Valid"/>
    <s v="Valid"/>
    <s v="Valid"/>
    <s v="Valid"/>
    <s v="Valid"/>
    <s v="Outlier"/>
  </r>
  <r>
    <s v="USR-100004"/>
    <d v="2025-05-04T00:00:00"/>
    <x v="0"/>
    <x v="3"/>
    <x v="1"/>
    <x v="0"/>
    <x v="0"/>
    <n v="1"/>
    <n v="0"/>
    <n v="0"/>
    <n v="0"/>
    <n v="0"/>
    <n v="0"/>
    <n v="0"/>
    <m/>
    <n v="64.599999999999994"/>
    <s v="Unique"/>
    <s v="Valid"/>
    <s v="Valid"/>
    <s v="Valid"/>
    <s v="Valid"/>
    <s v="Valid"/>
    <s v="Outlier"/>
  </r>
  <r>
    <s v="USR-100005"/>
    <d v="2025-02-12T00:00:00"/>
    <x v="0"/>
    <x v="0"/>
    <x v="2"/>
    <x v="1"/>
    <x v="1"/>
    <n v="0"/>
    <n v="0"/>
    <n v="0"/>
    <n v="0"/>
    <n v="0"/>
    <n v="0"/>
    <n v="0"/>
    <m/>
    <n v="66.599999999999994"/>
    <s v="Unique"/>
    <s v="Valid"/>
    <s v="Valid"/>
    <s v="Valid"/>
    <s v="Valid"/>
    <s v="Valid"/>
    <s v="Outlier"/>
  </r>
  <r>
    <s v="USR-100006"/>
    <d v="2025-01-28T00:00:00"/>
    <x v="0"/>
    <x v="2"/>
    <x v="1"/>
    <x v="1"/>
    <x v="2"/>
    <n v="1"/>
    <n v="0"/>
    <n v="0"/>
    <n v="0"/>
    <n v="0"/>
    <n v="0"/>
    <n v="0"/>
    <m/>
    <n v="40.799999999999997"/>
    <s v="Unique"/>
    <s v="Valid"/>
    <s v="Valid"/>
    <s v="Valid"/>
    <s v="Valid"/>
    <s v="Valid"/>
    <s v="Outlier"/>
  </r>
  <r>
    <s v="USR-100007"/>
    <d v="2025-04-08T00:00:00"/>
    <x v="0"/>
    <x v="2"/>
    <x v="1"/>
    <x v="2"/>
    <x v="0"/>
    <n v="1"/>
    <n v="1"/>
    <n v="0"/>
    <n v="0"/>
    <n v="0"/>
    <n v="0"/>
    <n v="0"/>
    <m/>
    <n v="57.1"/>
    <s v="Unique"/>
    <s v="Valid"/>
    <s v="Valid"/>
    <s v="Valid"/>
    <s v="Valid"/>
    <s v="Valid"/>
    <s v="Outlier"/>
  </r>
  <r>
    <s v="USR-100008"/>
    <d v="2025-05-17T00:00:00"/>
    <x v="0"/>
    <x v="3"/>
    <x v="1"/>
    <x v="2"/>
    <x v="1"/>
    <n v="0"/>
    <n v="0"/>
    <n v="0"/>
    <n v="0"/>
    <n v="0"/>
    <n v="0"/>
    <n v="0"/>
    <m/>
    <n v="36.4"/>
    <s v="Unique"/>
    <s v="Valid"/>
    <s v="Valid"/>
    <s v="Valid"/>
    <s v="Valid"/>
    <s v="Valid"/>
    <s v="Outlier"/>
  </r>
  <r>
    <s v="USR-100009"/>
    <d v="2025-02-23T00:00:00"/>
    <x v="0"/>
    <x v="3"/>
    <x v="2"/>
    <x v="3"/>
    <x v="0"/>
    <n v="0"/>
    <n v="0"/>
    <n v="0"/>
    <n v="0"/>
    <n v="0"/>
    <n v="0"/>
    <n v="0"/>
    <m/>
    <n v="55.4"/>
    <s v="Unique"/>
    <s v="Valid"/>
    <s v="Valid"/>
    <s v="Valid"/>
    <s v="Valid"/>
    <s v="Valid"/>
    <s v="Outlier"/>
  </r>
  <r>
    <s v="USR-100010"/>
    <d v="2025-05-29T00:00:00"/>
    <x v="0"/>
    <x v="1"/>
    <x v="0"/>
    <x v="4"/>
    <x v="1"/>
    <n v="1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0011"/>
    <d v="2025-04-30T00:00:00"/>
    <x v="0"/>
    <x v="2"/>
    <x v="1"/>
    <x v="2"/>
    <x v="0"/>
    <n v="1"/>
    <n v="1"/>
    <n v="1"/>
    <n v="0"/>
    <n v="0"/>
    <n v="0"/>
    <n v="0"/>
    <m/>
    <n v="63.6"/>
    <s v="Unique"/>
    <s v="Valid"/>
    <s v="Valid"/>
    <s v="Valid"/>
    <s v="Valid"/>
    <s v="Valid"/>
    <s v="Outlier"/>
  </r>
  <r>
    <s v="USR-100012"/>
    <d v="2025-03-16T00:00:00"/>
    <x v="0"/>
    <x v="2"/>
    <x v="1"/>
    <x v="4"/>
    <x v="2"/>
    <n v="1"/>
    <n v="1"/>
    <n v="1"/>
    <n v="0"/>
    <n v="0"/>
    <n v="1"/>
    <n v="0"/>
    <m/>
    <n v="80.400000000000006"/>
    <s v="Unique"/>
    <s v="Valid"/>
    <s v="Valid"/>
    <s v="Valid"/>
    <s v="Valid"/>
    <s v="Valid"/>
    <s v="Outlier"/>
  </r>
  <r>
    <s v="USR-100013"/>
    <d v="2025-02-07T00:00:00"/>
    <x v="0"/>
    <x v="3"/>
    <x v="0"/>
    <x v="0"/>
    <x v="0"/>
    <n v="1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0014"/>
    <d v="2025-03-02T00:00:00"/>
    <x v="0"/>
    <x v="1"/>
    <x v="1"/>
    <x v="4"/>
    <x v="0"/>
    <n v="1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0015"/>
    <d v="2025-05-30T00:00:00"/>
    <x v="0"/>
    <x v="3"/>
    <x v="1"/>
    <x v="1"/>
    <x v="0"/>
    <n v="0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0016"/>
    <d v="2025-03-25T00:00:00"/>
    <x v="0"/>
    <x v="3"/>
    <x v="1"/>
    <x v="4"/>
    <x v="0"/>
    <n v="1"/>
    <n v="0"/>
    <n v="0"/>
    <n v="0"/>
    <n v="0"/>
    <n v="0"/>
    <n v="0"/>
    <m/>
    <n v="68.900000000000006"/>
    <s v="Unique"/>
    <s v="Valid"/>
    <s v="Valid"/>
    <s v="Valid"/>
    <s v="Valid"/>
    <s v="Valid"/>
    <s v="Outlier"/>
  </r>
  <r>
    <s v="USR-100017"/>
    <d v="2025-03-27T00:00:00"/>
    <x v="0"/>
    <x v="2"/>
    <x v="0"/>
    <x v="2"/>
    <x v="1"/>
    <n v="1"/>
    <n v="1"/>
    <n v="1"/>
    <n v="0"/>
    <n v="0"/>
    <n v="0"/>
    <n v="0"/>
    <m/>
    <n v="71.900000000000006"/>
    <s v="Unique"/>
    <s v="Valid"/>
    <s v="Valid"/>
    <s v="Valid"/>
    <s v="Valid"/>
    <s v="Valid"/>
    <s v="Outlier"/>
  </r>
  <r>
    <s v="USR-100018"/>
    <d v="2025-05-28T00:00:00"/>
    <x v="0"/>
    <x v="3"/>
    <x v="0"/>
    <x v="2"/>
    <x v="1"/>
    <n v="0"/>
    <n v="0"/>
    <n v="0"/>
    <n v="0"/>
    <n v="0"/>
    <n v="0"/>
    <n v="0"/>
    <m/>
    <n v="50.5"/>
    <s v="Unique"/>
    <s v="Valid"/>
    <s v="Valid"/>
    <s v="Valid"/>
    <s v="Valid"/>
    <s v="Valid"/>
    <s v="Outlier"/>
  </r>
  <r>
    <s v="USR-100019"/>
    <d v="2025-02-15T00:00:00"/>
    <x v="0"/>
    <x v="0"/>
    <x v="0"/>
    <x v="2"/>
    <x v="0"/>
    <n v="0"/>
    <n v="0"/>
    <n v="0"/>
    <n v="0"/>
    <n v="0"/>
    <n v="0"/>
    <n v="0"/>
    <m/>
    <n v="49.3"/>
    <s v="Unique"/>
    <s v="Valid"/>
    <s v="Valid"/>
    <s v="Valid"/>
    <s v="Valid"/>
    <s v="Valid"/>
    <s v="Outlier"/>
  </r>
  <r>
    <s v="USR-100020"/>
    <d v="2025-05-05T00:00:00"/>
    <x v="0"/>
    <x v="1"/>
    <x v="0"/>
    <x v="1"/>
    <x v="0"/>
    <n v="0"/>
    <n v="0"/>
    <n v="0"/>
    <n v="0"/>
    <n v="0"/>
    <n v="2"/>
    <n v="0"/>
    <m/>
    <n v="60.9"/>
    <s v="Unique"/>
    <s v="Valid"/>
    <s v="Valid"/>
    <s v="Valid"/>
    <s v="Valid"/>
    <s v="Valid"/>
    <s v="Outlier"/>
  </r>
  <r>
    <s v="USR-100021"/>
    <d v="2025-04-13T00:00:00"/>
    <x v="0"/>
    <x v="2"/>
    <x v="1"/>
    <x v="4"/>
    <x v="1"/>
    <n v="1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0022"/>
    <d v="2025-05-07T00:00:00"/>
    <x v="0"/>
    <x v="0"/>
    <x v="0"/>
    <x v="2"/>
    <x v="1"/>
    <n v="0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023"/>
    <d v="2025-05-25T00:00:00"/>
    <x v="0"/>
    <x v="0"/>
    <x v="0"/>
    <x v="1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024"/>
    <d v="2025-04-01T00:00:00"/>
    <x v="0"/>
    <x v="2"/>
    <x v="1"/>
    <x v="2"/>
    <x v="2"/>
    <n v="1"/>
    <n v="1"/>
    <n v="0"/>
    <n v="0"/>
    <n v="0"/>
    <n v="0"/>
    <n v="0"/>
    <m/>
    <n v="51.6"/>
    <s v="Unique"/>
    <s v="Valid"/>
    <s v="Valid"/>
    <s v="Valid"/>
    <s v="Valid"/>
    <s v="Valid"/>
    <s v="Outlier"/>
  </r>
  <r>
    <s v="USR-100025"/>
    <d v="2025-02-22T00:00:00"/>
    <x v="0"/>
    <x v="0"/>
    <x v="1"/>
    <x v="2"/>
    <x v="2"/>
    <n v="0"/>
    <n v="0"/>
    <n v="0"/>
    <n v="0"/>
    <n v="0"/>
    <n v="2"/>
    <n v="0"/>
    <m/>
    <n v="66.900000000000006"/>
    <s v="Unique"/>
    <s v="Valid"/>
    <s v="Valid"/>
    <s v="Valid"/>
    <s v="Valid"/>
    <s v="Valid"/>
    <s v="Outlier"/>
  </r>
  <r>
    <s v="USR-100026"/>
    <d v="2025-03-24T00:00:00"/>
    <x v="0"/>
    <x v="2"/>
    <x v="1"/>
    <x v="1"/>
    <x v="0"/>
    <n v="0"/>
    <n v="0"/>
    <n v="0"/>
    <n v="0"/>
    <n v="0"/>
    <n v="0"/>
    <n v="0"/>
    <m/>
    <n v="67.400000000000006"/>
    <s v="Unique"/>
    <s v="Valid"/>
    <s v="Valid"/>
    <s v="Valid"/>
    <s v="Valid"/>
    <s v="Valid"/>
    <s v="Outlier"/>
  </r>
  <r>
    <s v="USR-100027"/>
    <d v="2025-02-13T00:00:00"/>
    <x v="0"/>
    <x v="0"/>
    <x v="1"/>
    <x v="1"/>
    <x v="1"/>
    <n v="0"/>
    <n v="0"/>
    <n v="0"/>
    <n v="0"/>
    <n v="0"/>
    <n v="0"/>
    <n v="0"/>
    <m/>
    <n v="58.8"/>
    <s v="Unique"/>
    <s v="Valid"/>
    <s v="Valid"/>
    <s v="Valid"/>
    <s v="Valid"/>
    <s v="Valid"/>
    <s v="Outlier"/>
  </r>
  <r>
    <s v="USR-100028"/>
    <d v="2025-05-30T00:00:00"/>
    <x v="0"/>
    <x v="3"/>
    <x v="1"/>
    <x v="1"/>
    <x v="1"/>
    <n v="1"/>
    <n v="0"/>
    <n v="0"/>
    <n v="0"/>
    <n v="0"/>
    <n v="0"/>
    <n v="0"/>
    <m/>
    <n v="73.8"/>
    <s v="Unique"/>
    <s v="Valid"/>
    <s v="Valid"/>
    <s v="Valid"/>
    <s v="Valid"/>
    <s v="Valid"/>
    <s v="Outlier"/>
  </r>
  <r>
    <s v="USR-100029"/>
    <d v="2025-01-20T00:00:00"/>
    <x v="0"/>
    <x v="2"/>
    <x v="2"/>
    <x v="1"/>
    <x v="0"/>
    <n v="0"/>
    <n v="0"/>
    <n v="0"/>
    <n v="0"/>
    <n v="0"/>
    <n v="0"/>
    <n v="0"/>
    <m/>
    <n v="60.1"/>
    <s v="Unique"/>
    <s v="Valid"/>
    <s v="Valid"/>
    <s v="Valid"/>
    <s v="Valid"/>
    <s v="Valid"/>
    <s v="Outlier"/>
  </r>
  <r>
    <s v="USR-100030"/>
    <d v="2025-05-19T00:00:00"/>
    <x v="0"/>
    <x v="2"/>
    <x v="1"/>
    <x v="4"/>
    <x v="0"/>
    <n v="1"/>
    <n v="1"/>
    <n v="1"/>
    <n v="0"/>
    <n v="0"/>
    <n v="0"/>
    <n v="0"/>
    <m/>
    <n v="41"/>
    <s v="Unique"/>
    <s v="Valid"/>
    <s v="Valid"/>
    <s v="Valid"/>
    <s v="Valid"/>
    <s v="Valid"/>
    <s v="Outlier"/>
  </r>
  <r>
    <s v="USR-100031"/>
    <d v="2025-02-18T00:00:00"/>
    <x v="0"/>
    <x v="3"/>
    <x v="1"/>
    <x v="1"/>
    <x v="0"/>
    <n v="1"/>
    <n v="0"/>
    <n v="0"/>
    <n v="0"/>
    <n v="0"/>
    <n v="0"/>
    <n v="0"/>
    <m/>
    <n v="80.3"/>
    <s v="Unique"/>
    <s v="Valid"/>
    <s v="Valid"/>
    <s v="Valid"/>
    <s v="Valid"/>
    <s v="Valid"/>
    <s v="Outlier"/>
  </r>
  <r>
    <s v="USR-100032"/>
    <d v="2025-02-13T00:00:00"/>
    <x v="0"/>
    <x v="2"/>
    <x v="1"/>
    <x v="1"/>
    <x v="1"/>
    <n v="0"/>
    <n v="0"/>
    <n v="0"/>
    <n v="0"/>
    <n v="0"/>
    <n v="0"/>
    <n v="0"/>
    <m/>
    <n v="67.599999999999994"/>
    <s v="Unique"/>
    <s v="Valid"/>
    <s v="Valid"/>
    <s v="Valid"/>
    <s v="Valid"/>
    <s v="Valid"/>
    <s v="Outlier"/>
  </r>
  <r>
    <s v="USR-100033"/>
    <d v="2025-03-08T00:00:00"/>
    <x v="0"/>
    <x v="2"/>
    <x v="0"/>
    <x v="3"/>
    <x v="2"/>
    <n v="0"/>
    <n v="0"/>
    <n v="0"/>
    <n v="0"/>
    <n v="0"/>
    <n v="0"/>
    <n v="0"/>
    <m/>
    <n v="64"/>
    <s v="Unique"/>
    <s v="Valid"/>
    <s v="Valid"/>
    <s v="Valid"/>
    <s v="Valid"/>
    <s v="Valid"/>
    <s v="Outlier"/>
  </r>
  <r>
    <s v="USR-100034"/>
    <d v="2025-01-11T00:00:00"/>
    <x v="0"/>
    <x v="0"/>
    <x v="1"/>
    <x v="2"/>
    <x v="1"/>
    <n v="1"/>
    <n v="1"/>
    <n v="0"/>
    <n v="0"/>
    <n v="0"/>
    <n v="0"/>
    <n v="0"/>
    <m/>
    <n v="27.2"/>
    <s v="Unique"/>
    <s v="Valid"/>
    <s v="Valid"/>
    <s v="Valid"/>
    <s v="Valid"/>
    <s v="Valid"/>
    <s v="Outlier"/>
  </r>
  <r>
    <s v="USR-100035"/>
    <d v="2025-02-12T00:00:00"/>
    <x v="0"/>
    <x v="0"/>
    <x v="0"/>
    <x v="1"/>
    <x v="1"/>
    <n v="1"/>
    <n v="0"/>
    <n v="0"/>
    <n v="0"/>
    <n v="0"/>
    <n v="0"/>
    <n v="0"/>
    <m/>
    <n v="85.4"/>
    <s v="Unique"/>
    <s v="Valid"/>
    <s v="Valid"/>
    <s v="Valid"/>
    <s v="Valid"/>
    <s v="Valid"/>
    <s v="Outlier"/>
  </r>
  <r>
    <s v="USR-100036"/>
    <d v="2025-04-13T00:00:00"/>
    <x v="0"/>
    <x v="2"/>
    <x v="0"/>
    <x v="1"/>
    <x v="0"/>
    <n v="1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037"/>
    <d v="2025-05-09T00:00:00"/>
    <x v="0"/>
    <x v="2"/>
    <x v="1"/>
    <x v="1"/>
    <x v="2"/>
    <n v="1"/>
    <n v="0"/>
    <n v="0"/>
    <n v="0"/>
    <n v="0"/>
    <n v="1"/>
    <n v="0"/>
    <m/>
    <n v="34.799999999999997"/>
    <s v="Unique"/>
    <s v="Valid"/>
    <s v="Valid"/>
    <s v="Valid"/>
    <s v="Valid"/>
    <s v="Valid"/>
    <s v="Outlier"/>
  </r>
  <r>
    <s v="USR-100038"/>
    <d v="2025-01-20T00:00:00"/>
    <x v="0"/>
    <x v="2"/>
    <x v="1"/>
    <x v="1"/>
    <x v="1"/>
    <n v="1"/>
    <n v="1"/>
    <n v="1"/>
    <n v="0"/>
    <n v="0"/>
    <n v="3"/>
    <n v="0"/>
    <m/>
    <n v="48.9"/>
    <s v="Unique"/>
    <s v="Valid"/>
    <s v="Valid"/>
    <s v="Valid"/>
    <s v="Valid"/>
    <s v="Valid"/>
    <s v="Outlier"/>
  </r>
  <r>
    <s v="USR-100039"/>
    <d v="2025-05-13T00:00:00"/>
    <x v="0"/>
    <x v="2"/>
    <x v="1"/>
    <x v="0"/>
    <x v="2"/>
    <n v="1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0040"/>
    <d v="2025-04-07T00:00:00"/>
    <x v="0"/>
    <x v="0"/>
    <x v="0"/>
    <x v="1"/>
    <x v="0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041"/>
    <d v="2025-03-31T00:00:00"/>
    <x v="0"/>
    <x v="0"/>
    <x v="0"/>
    <x v="1"/>
    <x v="1"/>
    <n v="0"/>
    <n v="0"/>
    <n v="0"/>
    <n v="0"/>
    <n v="0"/>
    <n v="0"/>
    <n v="0"/>
    <m/>
    <n v="53.2"/>
    <s v="Unique"/>
    <s v="Valid"/>
    <s v="Valid"/>
    <s v="Valid"/>
    <s v="Valid"/>
    <s v="Valid"/>
    <s v="Outlier"/>
  </r>
  <r>
    <s v="USR-100042"/>
    <d v="2025-01-25T00:00:00"/>
    <x v="0"/>
    <x v="2"/>
    <x v="1"/>
    <x v="0"/>
    <x v="2"/>
    <n v="0"/>
    <n v="0"/>
    <n v="0"/>
    <n v="0"/>
    <n v="0"/>
    <n v="0"/>
    <n v="0"/>
    <m/>
    <n v="55.6"/>
    <s v="Unique"/>
    <s v="Valid"/>
    <s v="Valid"/>
    <s v="Valid"/>
    <s v="Valid"/>
    <s v="Valid"/>
    <s v="Outlier"/>
  </r>
  <r>
    <s v="USR-100043"/>
    <d v="2025-02-14T00:00:00"/>
    <x v="0"/>
    <x v="3"/>
    <x v="0"/>
    <x v="1"/>
    <x v="1"/>
    <n v="0"/>
    <n v="0"/>
    <n v="0"/>
    <n v="0"/>
    <n v="0"/>
    <n v="0"/>
    <n v="0"/>
    <m/>
    <n v="73"/>
    <s v="Unique"/>
    <s v="Valid"/>
    <s v="Valid"/>
    <s v="Valid"/>
    <s v="Valid"/>
    <s v="Valid"/>
    <s v="Outlier"/>
  </r>
  <r>
    <s v="USR-100044"/>
    <d v="2025-02-27T00:00:00"/>
    <x v="0"/>
    <x v="2"/>
    <x v="1"/>
    <x v="0"/>
    <x v="1"/>
    <n v="1"/>
    <n v="0"/>
    <n v="0"/>
    <n v="0"/>
    <n v="0"/>
    <n v="0"/>
    <n v="0"/>
    <m/>
    <n v="65"/>
    <s v="Unique"/>
    <s v="Valid"/>
    <s v="Valid"/>
    <s v="Valid"/>
    <s v="Valid"/>
    <s v="Valid"/>
    <s v="Outlier"/>
  </r>
  <r>
    <s v="USR-100045"/>
    <d v="2025-03-28T00:00:00"/>
    <x v="0"/>
    <x v="2"/>
    <x v="1"/>
    <x v="4"/>
    <x v="1"/>
    <n v="1"/>
    <n v="0"/>
    <n v="0"/>
    <n v="0"/>
    <n v="0"/>
    <n v="4"/>
    <n v="0"/>
    <m/>
    <n v="56.3"/>
    <s v="Unique"/>
    <s v="Valid"/>
    <s v="Valid"/>
    <s v="Valid"/>
    <s v="Valid"/>
    <s v="Valid"/>
    <s v="Outlier"/>
  </r>
  <r>
    <s v="USR-100046"/>
    <d v="2025-05-25T00:00:00"/>
    <x v="0"/>
    <x v="2"/>
    <x v="1"/>
    <x v="3"/>
    <x v="2"/>
    <n v="1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0047"/>
    <d v="2025-05-05T00:00:00"/>
    <x v="0"/>
    <x v="1"/>
    <x v="0"/>
    <x v="1"/>
    <x v="1"/>
    <n v="1"/>
    <n v="1"/>
    <n v="1"/>
    <n v="0"/>
    <n v="0"/>
    <n v="0"/>
    <n v="0"/>
    <m/>
    <n v="58.1"/>
    <s v="Unique"/>
    <s v="Valid"/>
    <s v="Valid"/>
    <s v="Valid"/>
    <s v="Valid"/>
    <s v="Valid"/>
    <s v="Outlier"/>
  </r>
  <r>
    <s v="USR-100048"/>
    <d v="2025-05-16T00:00:00"/>
    <x v="0"/>
    <x v="0"/>
    <x v="1"/>
    <x v="1"/>
    <x v="1"/>
    <n v="1"/>
    <n v="1"/>
    <n v="1"/>
    <n v="0"/>
    <n v="0"/>
    <n v="0"/>
    <n v="0"/>
    <m/>
    <n v="80.8"/>
    <s v="Unique"/>
    <s v="Valid"/>
    <s v="Valid"/>
    <s v="Valid"/>
    <s v="Valid"/>
    <s v="Valid"/>
    <s v="Outlier"/>
  </r>
  <r>
    <s v="USR-100049"/>
    <d v="2025-01-08T00:00:00"/>
    <x v="0"/>
    <x v="0"/>
    <x v="1"/>
    <x v="4"/>
    <x v="1"/>
    <n v="1"/>
    <n v="1"/>
    <n v="0"/>
    <n v="0"/>
    <n v="0"/>
    <n v="0"/>
    <n v="0"/>
    <m/>
    <n v="42.9"/>
    <s v="Unique"/>
    <s v="Valid"/>
    <s v="Valid"/>
    <s v="Valid"/>
    <s v="Valid"/>
    <s v="Valid"/>
    <s v="Outlier"/>
  </r>
  <r>
    <s v="USR-100050"/>
    <d v="2025-01-06T00:00:00"/>
    <x v="0"/>
    <x v="1"/>
    <x v="0"/>
    <x v="2"/>
    <x v="1"/>
    <n v="1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051"/>
    <d v="2025-01-12T00:00:00"/>
    <x v="0"/>
    <x v="0"/>
    <x v="1"/>
    <x v="4"/>
    <x v="0"/>
    <n v="0"/>
    <n v="0"/>
    <n v="0"/>
    <n v="0"/>
    <n v="0"/>
    <n v="0"/>
    <n v="0"/>
    <m/>
    <n v="46.9"/>
    <s v="Unique"/>
    <s v="Valid"/>
    <s v="Valid"/>
    <s v="Valid"/>
    <s v="Valid"/>
    <s v="Valid"/>
    <s v="Outlier"/>
  </r>
  <r>
    <s v="USR-100052"/>
    <d v="2025-02-14T00:00:00"/>
    <x v="0"/>
    <x v="2"/>
    <x v="0"/>
    <x v="0"/>
    <x v="2"/>
    <n v="1"/>
    <n v="0"/>
    <n v="0"/>
    <n v="0"/>
    <n v="0"/>
    <n v="0"/>
    <n v="0"/>
    <m/>
    <n v="63"/>
    <s v="Unique"/>
    <s v="Valid"/>
    <s v="Valid"/>
    <s v="Valid"/>
    <s v="Valid"/>
    <s v="Valid"/>
    <s v="Outlier"/>
  </r>
  <r>
    <s v="USR-100053"/>
    <d v="2025-03-10T00:00:00"/>
    <x v="0"/>
    <x v="3"/>
    <x v="2"/>
    <x v="1"/>
    <x v="1"/>
    <n v="0"/>
    <n v="0"/>
    <n v="0"/>
    <n v="0"/>
    <n v="0"/>
    <n v="0"/>
    <n v="0"/>
    <m/>
    <n v="53.6"/>
    <s v="Unique"/>
    <s v="Valid"/>
    <s v="Valid"/>
    <s v="Valid"/>
    <s v="Valid"/>
    <s v="Valid"/>
    <s v="Outlier"/>
  </r>
  <r>
    <s v="USR-100054"/>
    <d v="2025-04-20T00:00:00"/>
    <x v="0"/>
    <x v="1"/>
    <x v="0"/>
    <x v="1"/>
    <x v="0"/>
    <n v="0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055"/>
    <d v="2025-02-19T00:00:00"/>
    <x v="0"/>
    <x v="3"/>
    <x v="1"/>
    <x v="1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056"/>
    <d v="2025-05-17T00:00:00"/>
    <x v="0"/>
    <x v="3"/>
    <x v="1"/>
    <x v="4"/>
    <x v="0"/>
    <n v="1"/>
    <n v="0"/>
    <n v="0"/>
    <n v="0"/>
    <n v="0"/>
    <n v="2"/>
    <n v="0"/>
    <m/>
    <n v="50"/>
    <s v="Unique"/>
    <s v="Valid"/>
    <s v="Valid"/>
    <s v="Valid"/>
    <s v="Valid"/>
    <s v="Valid"/>
    <s v="Outlier"/>
  </r>
  <r>
    <s v="USR-100057"/>
    <d v="2025-04-01T00:00:00"/>
    <x v="0"/>
    <x v="2"/>
    <x v="1"/>
    <x v="4"/>
    <x v="0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058"/>
    <d v="2025-02-04T00:00:00"/>
    <x v="0"/>
    <x v="0"/>
    <x v="0"/>
    <x v="1"/>
    <x v="1"/>
    <n v="1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059"/>
    <d v="2025-04-14T00:00:00"/>
    <x v="0"/>
    <x v="0"/>
    <x v="1"/>
    <x v="4"/>
    <x v="1"/>
    <n v="0"/>
    <n v="0"/>
    <n v="0"/>
    <n v="0"/>
    <n v="0"/>
    <n v="2"/>
    <n v="0"/>
    <m/>
    <n v="48.9"/>
    <s v="Unique"/>
    <s v="Valid"/>
    <s v="Valid"/>
    <s v="Valid"/>
    <s v="Valid"/>
    <s v="Valid"/>
    <s v="Outlier"/>
  </r>
  <r>
    <s v="USR-100060"/>
    <d v="2025-01-01T00:00:00"/>
    <x v="0"/>
    <x v="1"/>
    <x v="1"/>
    <x v="4"/>
    <x v="1"/>
    <n v="1"/>
    <n v="1"/>
    <n v="1"/>
    <n v="1"/>
    <n v="240.42"/>
    <n v="0"/>
    <n v="0"/>
    <n v="16"/>
    <n v="56.5"/>
    <s v="Unique"/>
    <s v="Valid"/>
    <s v="Valid"/>
    <s v="Valid"/>
    <s v="Valid"/>
    <s v="Valid"/>
    <s v="Outlier"/>
  </r>
  <r>
    <s v="USR-100061"/>
    <d v="2025-04-02T00:00:00"/>
    <x v="0"/>
    <x v="3"/>
    <x v="1"/>
    <x v="3"/>
    <x v="1"/>
    <n v="1"/>
    <n v="0"/>
    <n v="0"/>
    <n v="0"/>
    <n v="0"/>
    <n v="0"/>
    <n v="0"/>
    <m/>
    <n v="53.7"/>
    <s v="Unique"/>
    <s v="Valid"/>
    <s v="Valid"/>
    <s v="Valid"/>
    <s v="Valid"/>
    <s v="Valid"/>
    <s v="Outlier"/>
  </r>
  <r>
    <s v="USR-100062"/>
    <d v="2025-03-29T00:00:00"/>
    <x v="0"/>
    <x v="0"/>
    <x v="1"/>
    <x v="4"/>
    <x v="2"/>
    <n v="0"/>
    <n v="0"/>
    <n v="0"/>
    <n v="0"/>
    <n v="0"/>
    <n v="0"/>
    <n v="0"/>
    <m/>
    <n v="62.2"/>
    <s v="Unique"/>
    <s v="Valid"/>
    <s v="Valid"/>
    <s v="Valid"/>
    <s v="Valid"/>
    <s v="Valid"/>
    <s v="Outlier"/>
  </r>
  <r>
    <s v="USR-100063"/>
    <d v="2025-05-15T00:00:00"/>
    <x v="0"/>
    <x v="3"/>
    <x v="0"/>
    <x v="1"/>
    <x v="1"/>
    <n v="1"/>
    <n v="0"/>
    <n v="0"/>
    <n v="0"/>
    <n v="0"/>
    <n v="0"/>
    <n v="0"/>
    <m/>
    <n v="50.2"/>
    <s v="Unique"/>
    <s v="Valid"/>
    <s v="Valid"/>
    <s v="Valid"/>
    <s v="Valid"/>
    <s v="Valid"/>
    <s v="Outlier"/>
  </r>
  <r>
    <s v="USR-100064"/>
    <d v="2025-04-11T00:00:00"/>
    <x v="0"/>
    <x v="0"/>
    <x v="1"/>
    <x v="1"/>
    <x v="0"/>
    <n v="1"/>
    <n v="0"/>
    <n v="0"/>
    <n v="0"/>
    <n v="0"/>
    <n v="0"/>
    <n v="0"/>
    <m/>
    <n v="74.3"/>
    <s v="Unique"/>
    <s v="Valid"/>
    <s v="Valid"/>
    <s v="Valid"/>
    <s v="Valid"/>
    <s v="Valid"/>
    <s v="Outlier"/>
  </r>
  <r>
    <s v="USR-100065"/>
    <d v="2025-03-07T00:00:00"/>
    <x v="0"/>
    <x v="3"/>
    <x v="0"/>
    <x v="2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066"/>
    <d v="2025-05-30T00:00:00"/>
    <x v="0"/>
    <x v="3"/>
    <x v="1"/>
    <x v="1"/>
    <x v="1"/>
    <n v="0"/>
    <n v="0"/>
    <n v="0"/>
    <n v="0"/>
    <n v="0"/>
    <n v="0"/>
    <n v="0"/>
    <m/>
    <n v="46.7"/>
    <s v="Unique"/>
    <s v="Valid"/>
    <s v="Valid"/>
    <s v="Valid"/>
    <s v="Valid"/>
    <s v="Valid"/>
    <s v="Outlier"/>
  </r>
  <r>
    <s v="USR-100067"/>
    <d v="2025-01-07T00:00:00"/>
    <x v="0"/>
    <x v="3"/>
    <x v="0"/>
    <x v="1"/>
    <x v="2"/>
    <n v="1"/>
    <n v="0"/>
    <n v="0"/>
    <n v="0"/>
    <n v="0"/>
    <n v="1"/>
    <n v="0"/>
    <m/>
    <n v="49.6"/>
    <s v="Unique"/>
    <s v="Valid"/>
    <s v="Valid"/>
    <s v="Valid"/>
    <s v="Valid"/>
    <s v="Valid"/>
    <s v="Outlier"/>
  </r>
  <r>
    <s v="USR-100068"/>
    <d v="2025-05-08T00:00:00"/>
    <x v="0"/>
    <x v="1"/>
    <x v="1"/>
    <x v="4"/>
    <x v="1"/>
    <n v="0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0069"/>
    <d v="2025-03-19T00:00:00"/>
    <x v="0"/>
    <x v="2"/>
    <x v="0"/>
    <x v="0"/>
    <x v="1"/>
    <n v="1"/>
    <n v="1"/>
    <n v="1"/>
    <n v="0"/>
    <n v="0"/>
    <n v="0"/>
    <n v="0"/>
    <m/>
    <n v="55.3"/>
    <s v="Unique"/>
    <s v="Valid"/>
    <s v="Valid"/>
    <s v="Valid"/>
    <s v="Valid"/>
    <s v="Valid"/>
    <s v="Outlier"/>
  </r>
  <r>
    <s v="USR-100070"/>
    <d v="2025-05-16T00:00:00"/>
    <x v="0"/>
    <x v="0"/>
    <x v="0"/>
    <x v="1"/>
    <x v="1"/>
    <n v="0"/>
    <n v="0"/>
    <n v="0"/>
    <n v="0"/>
    <n v="0"/>
    <n v="0"/>
    <n v="0"/>
    <m/>
    <n v="56.2"/>
    <s v="Unique"/>
    <s v="Valid"/>
    <s v="Valid"/>
    <s v="Valid"/>
    <s v="Valid"/>
    <s v="Valid"/>
    <s v="Outlier"/>
  </r>
  <r>
    <s v="USR-100071"/>
    <d v="2025-03-08T00:00:00"/>
    <x v="0"/>
    <x v="1"/>
    <x v="1"/>
    <x v="0"/>
    <x v="1"/>
    <n v="0"/>
    <n v="0"/>
    <n v="0"/>
    <n v="0"/>
    <n v="0"/>
    <n v="0"/>
    <n v="0"/>
    <m/>
    <n v="29.4"/>
    <s v="Unique"/>
    <s v="Valid"/>
    <s v="Valid"/>
    <s v="Valid"/>
    <s v="Valid"/>
    <s v="Valid"/>
    <s v="Outlier"/>
  </r>
  <r>
    <s v="USR-100072"/>
    <d v="2025-03-08T00:00:00"/>
    <x v="0"/>
    <x v="2"/>
    <x v="1"/>
    <x v="0"/>
    <x v="1"/>
    <n v="1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0073"/>
    <d v="2025-01-14T00:00:00"/>
    <x v="0"/>
    <x v="2"/>
    <x v="0"/>
    <x v="2"/>
    <x v="0"/>
    <n v="0"/>
    <n v="0"/>
    <n v="0"/>
    <n v="0"/>
    <n v="0"/>
    <n v="0"/>
    <n v="0"/>
    <m/>
    <n v="46.4"/>
    <s v="Unique"/>
    <s v="Valid"/>
    <s v="Valid"/>
    <s v="Valid"/>
    <s v="Valid"/>
    <s v="Valid"/>
    <s v="Outlier"/>
  </r>
  <r>
    <s v="USR-100074"/>
    <d v="2025-02-10T00:00:00"/>
    <x v="0"/>
    <x v="3"/>
    <x v="1"/>
    <x v="2"/>
    <x v="0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075"/>
    <d v="2025-03-17T00:00:00"/>
    <x v="0"/>
    <x v="0"/>
    <x v="1"/>
    <x v="1"/>
    <x v="1"/>
    <n v="0"/>
    <n v="0"/>
    <n v="0"/>
    <n v="0"/>
    <n v="0"/>
    <n v="0"/>
    <n v="0"/>
    <m/>
    <n v="58.5"/>
    <s v="Unique"/>
    <s v="Valid"/>
    <s v="Valid"/>
    <s v="Valid"/>
    <s v="Valid"/>
    <s v="Valid"/>
    <s v="Outlier"/>
  </r>
  <r>
    <s v="USR-100076"/>
    <d v="2025-01-09T00:00:00"/>
    <x v="0"/>
    <x v="3"/>
    <x v="1"/>
    <x v="0"/>
    <x v="1"/>
    <n v="0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077"/>
    <d v="2025-04-17T00:00:00"/>
    <x v="0"/>
    <x v="0"/>
    <x v="1"/>
    <x v="3"/>
    <x v="1"/>
    <n v="0"/>
    <n v="0"/>
    <n v="0"/>
    <n v="0"/>
    <n v="0"/>
    <n v="1"/>
    <n v="0"/>
    <m/>
    <n v="84.9"/>
    <s v="Unique"/>
    <s v="Valid"/>
    <s v="Valid"/>
    <s v="Valid"/>
    <s v="Valid"/>
    <s v="Valid"/>
    <s v="Outlier"/>
  </r>
  <r>
    <s v="USR-100078"/>
    <d v="2025-01-16T00:00:00"/>
    <x v="0"/>
    <x v="0"/>
    <x v="1"/>
    <x v="1"/>
    <x v="1"/>
    <n v="0"/>
    <n v="0"/>
    <n v="0"/>
    <n v="0"/>
    <n v="0"/>
    <n v="2"/>
    <n v="0"/>
    <m/>
    <n v="48.4"/>
    <s v="Unique"/>
    <s v="Valid"/>
    <s v="Valid"/>
    <s v="Valid"/>
    <s v="Valid"/>
    <s v="Valid"/>
    <s v="Outlier"/>
  </r>
  <r>
    <s v="USR-100079"/>
    <d v="2025-02-20T00:00:00"/>
    <x v="0"/>
    <x v="1"/>
    <x v="0"/>
    <x v="1"/>
    <x v="1"/>
    <n v="1"/>
    <n v="1"/>
    <n v="1"/>
    <n v="1"/>
    <n v="457.51"/>
    <n v="0"/>
    <n v="0"/>
    <n v="7"/>
    <n v="38"/>
    <s v="Unique"/>
    <s v="Valid"/>
    <s v="Valid"/>
    <s v="Valid"/>
    <s v="Valid"/>
    <s v="Valid"/>
    <s v="Outlier"/>
  </r>
  <r>
    <s v="USR-100080"/>
    <d v="2025-05-21T00:00:00"/>
    <x v="0"/>
    <x v="2"/>
    <x v="1"/>
    <x v="4"/>
    <x v="1"/>
    <n v="1"/>
    <n v="0"/>
    <n v="0"/>
    <n v="0"/>
    <n v="0"/>
    <n v="0"/>
    <n v="0"/>
    <m/>
    <n v="44.2"/>
    <s v="Unique"/>
    <s v="Valid"/>
    <s v="Valid"/>
    <s v="Valid"/>
    <s v="Valid"/>
    <s v="Valid"/>
    <s v="Outlier"/>
  </r>
  <r>
    <s v="USR-100081"/>
    <d v="2025-05-08T00:00:00"/>
    <x v="0"/>
    <x v="3"/>
    <x v="1"/>
    <x v="1"/>
    <x v="1"/>
    <n v="1"/>
    <n v="1"/>
    <n v="1"/>
    <n v="0"/>
    <n v="0"/>
    <n v="0"/>
    <n v="0"/>
    <m/>
    <n v="81.2"/>
    <s v="Unique"/>
    <s v="Valid"/>
    <s v="Valid"/>
    <s v="Valid"/>
    <s v="Valid"/>
    <s v="Valid"/>
    <s v="Outlier"/>
  </r>
  <r>
    <s v="USR-100082"/>
    <d v="2025-03-08T00:00:00"/>
    <x v="0"/>
    <x v="3"/>
    <x v="1"/>
    <x v="3"/>
    <x v="1"/>
    <n v="1"/>
    <n v="1"/>
    <n v="0"/>
    <n v="0"/>
    <n v="0"/>
    <n v="0"/>
    <n v="0"/>
    <m/>
    <n v="63.8"/>
    <s v="Unique"/>
    <s v="Valid"/>
    <s v="Valid"/>
    <s v="Valid"/>
    <s v="Valid"/>
    <s v="Valid"/>
    <s v="Outlier"/>
  </r>
  <r>
    <s v="USR-100083"/>
    <d v="2025-04-01T00:00:00"/>
    <x v="0"/>
    <x v="3"/>
    <x v="0"/>
    <x v="0"/>
    <x v="1"/>
    <n v="0"/>
    <n v="0"/>
    <n v="0"/>
    <n v="0"/>
    <n v="0"/>
    <n v="0"/>
    <n v="0"/>
    <m/>
    <n v="64.7"/>
    <s v="Unique"/>
    <s v="Valid"/>
    <s v="Valid"/>
    <s v="Valid"/>
    <s v="Valid"/>
    <s v="Valid"/>
    <s v="Outlier"/>
  </r>
  <r>
    <s v="USR-100084"/>
    <d v="2025-03-03T00:00:00"/>
    <x v="0"/>
    <x v="1"/>
    <x v="1"/>
    <x v="4"/>
    <x v="0"/>
    <n v="0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0085"/>
    <d v="2025-04-16T00:00:00"/>
    <x v="0"/>
    <x v="3"/>
    <x v="1"/>
    <x v="2"/>
    <x v="1"/>
    <n v="0"/>
    <n v="0"/>
    <n v="0"/>
    <n v="0"/>
    <n v="0"/>
    <n v="0"/>
    <n v="0"/>
    <m/>
    <n v="66.599999999999994"/>
    <s v="Unique"/>
    <s v="Valid"/>
    <s v="Valid"/>
    <s v="Valid"/>
    <s v="Valid"/>
    <s v="Valid"/>
    <s v="Outlier"/>
  </r>
  <r>
    <s v="USR-100086"/>
    <d v="2025-01-09T00:00:00"/>
    <x v="0"/>
    <x v="0"/>
    <x v="0"/>
    <x v="1"/>
    <x v="1"/>
    <n v="1"/>
    <n v="0"/>
    <n v="0"/>
    <n v="0"/>
    <n v="0"/>
    <n v="0"/>
    <n v="0"/>
    <m/>
    <n v="50.9"/>
    <s v="Unique"/>
    <s v="Valid"/>
    <s v="Valid"/>
    <s v="Valid"/>
    <s v="Valid"/>
    <s v="Valid"/>
    <s v="Outlier"/>
  </r>
  <r>
    <s v="USR-100087"/>
    <d v="2025-01-22T00:00:00"/>
    <x v="0"/>
    <x v="1"/>
    <x v="0"/>
    <x v="4"/>
    <x v="0"/>
    <n v="0"/>
    <n v="0"/>
    <n v="0"/>
    <n v="0"/>
    <n v="0"/>
    <n v="0"/>
    <n v="0"/>
    <m/>
    <n v="51"/>
    <s v="Unique"/>
    <s v="Valid"/>
    <s v="Valid"/>
    <s v="Valid"/>
    <s v="Valid"/>
    <s v="Valid"/>
    <s v="Outlier"/>
  </r>
  <r>
    <s v="USR-100088"/>
    <d v="2025-04-30T00:00:00"/>
    <x v="0"/>
    <x v="3"/>
    <x v="1"/>
    <x v="0"/>
    <x v="2"/>
    <n v="0"/>
    <n v="0"/>
    <n v="0"/>
    <n v="0"/>
    <n v="0"/>
    <n v="0"/>
    <n v="0"/>
    <m/>
    <n v="65.8"/>
    <s v="Unique"/>
    <s v="Valid"/>
    <s v="Valid"/>
    <s v="Valid"/>
    <s v="Valid"/>
    <s v="Valid"/>
    <s v="Outlier"/>
  </r>
  <r>
    <s v="USR-100089"/>
    <d v="2025-04-25T00:00:00"/>
    <x v="0"/>
    <x v="0"/>
    <x v="1"/>
    <x v="3"/>
    <x v="0"/>
    <n v="1"/>
    <n v="0"/>
    <n v="0"/>
    <n v="0"/>
    <n v="0"/>
    <n v="0"/>
    <n v="0"/>
    <m/>
    <n v="61.8"/>
    <s v="Unique"/>
    <s v="Valid"/>
    <s v="Valid"/>
    <s v="Valid"/>
    <s v="Valid"/>
    <s v="Valid"/>
    <s v="Outlier"/>
  </r>
  <r>
    <s v="USR-100090"/>
    <d v="2025-02-01T00:00:00"/>
    <x v="0"/>
    <x v="0"/>
    <x v="1"/>
    <x v="1"/>
    <x v="0"/>
    <n v="1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091"/>
    <d v="2025-04-23T00:00:00"/>
    <x v="0"/>
    <x v="3"/>
    <x v="0"/>
    <x v="1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0092"/>
    <d v="2025-02-27T00:00:00"/>
    <x v="0"/>
    <x v="3"/>
    <x v="1"/>
    <x v="4"/>
    <x v="1"/>
    <n v="1"/>
    <n v="0"/>
    <n v="0"/>
    <n v="0"/>
    <n v="0"/>
    <n v="0"/>
    <n v="0"/>
    <m/>
    <n v="42.3"/>
    <s v="Unique"/>
    <s v="Valid"/>
    <s v="Valid"/>
    <s v="Valid"/>
    <s v="Valid"/>
    <s v="Valid"/>
    <s v="Outlier"/>
  </r>
  <r>
    <s v="USR-100093"/>
    <d v="2025-04-09T00:00:00"/>
    <x v="0"/>
    <x v="2"/>
    <x v="0"/>
    <x v="1"/>
    <x v="0"/>
    <n v="1"/>
    <n v="0"/>
    <n v="0"/>
    <n v="0"/>
    <n v="0"/>
    <n v="0"/>
    <n v="0"/>
    <m/>
    <n v="76.2"/>
    <s v="Unique"/>
    <s v="Valid"/>
    <s v="Valid"/>
    <s v="Valid"/>
    <s v="Valid"/>
    <s v="Valid"/>
    <s v="Outlier"/>
  </r>
  <r>
    <s v="USR-100094"/>
    <d v="2025-05-13T00:00:00"/>
    <x v="0"/>
    <x v="3"/>
    <x v="2"/>
    <x v="1"/>
    <x v="2"/>
    <n v="1"/>
    <n v="1"/>
    <n v="1"/>
    <n v="0"/>
    <n v="0"/>
    <n v="1"/>
    <n v="0"/>
    <m/>
    <n v="37.4"/>
    <s v="Unique"/>
    <s v="Valid"/>
    <s v="Valid"/>
    <s v="Valid"/>
    <s v="Valid"/>
    <s v="Valid"/>
    <s v="Outlier"/>
  </r>
  <r>
    <s v="USR-100095"/>
    <d v="2025-04-13T00:00:00"/>
    <x v="0"/>
    <x v="2"/>
    <x v="1"/>
    <x v="1"/>
    <x v="1"/>
    <n v="0"/>
    <n v="0"/>
    <n v="0"/>
    <n v="0"/>
    <n v="0"/>
    <n v="0"/>
    <n v="0"/>
    <m/>
    <n v="84.2"/>
    <s v="Unique"/>
    <s v="Valid"/>
    <s v="Valid"/>
    <s v="Valid"/>
    <s v="Valid"/>
    <s v="Valid"/>
    <s v="Outlier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s v="Unique"/>
    <s v="Valid"/>
    <s v="Valid"/>
    <s v="Valid"/>
    <s v="Valid"/>
    <s v="Valid"/>
    <s v="Outlier"/>
  </r>
  <r>
    <s v="USR-100097"/>
    <d v="2025-02-14T00:00:00"/>
    <x v="0"/>
    <x v="1"/>
    <x v="1"/>
    <x v="1"/>
    <x v="0"/>
    <n v="1"/>
    <n v="0"/>
    <n v="0"/>
    <n v="0"/>
    <n v="0"/>
    <n v="0"/>
    <n v="0"/>
    <m/>
    <n v="53.5"/>
    <s v="Unique"/>
    <s v="Valid"/>
    <s v="Valid"/>
    <s v="Valid"/>
    <s v="Valid"/>
    <s v="Valid"/>
    <s v="Outlier"/>
  </r>
  <r>
    <s v="USR-100098"/>
    <d v="2025-02-11T00:00:00"/>
    <x v="0"/>
    <x v="0"/>
    <x v="0"/>
    <x v="1"/>
    <x v="2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0099"/>
    <d v="2025-02-11T00:00:00"/>
    <x v="0"/>
    <x v="2"/>
    <x v="0"/>
    <x v="4"/>
    <x v="1"/>
    <n v="1"/>
    <n v="1"/>
    <n v="1"/>
    <n v="1"/>
    <n v="363.32"/>
    <n v="0"/>
    <n v="0"/>
    <n v="9"/>
    <n v="55.9"/>
    <s v="Unique"/>
    <s v="Valid"/>
    <s v="Valid"/>
    <s v="Valid"/>
    <s v="Valid"/>
    <s v="Valid"/>
    <s v="Outlier"/>
  </r>
  <r>
    <s v="USR-100100"/>
    <d v="2025-05-26T00:00:00"/>
    <x v="0"/>
    <x v="0"/>
    <x v="1"/>
    <x v="1"/>
    <x v="1"/>
    <n v="1"/>
    <n v="0"/>
    <n v="0"/>
    <n v="0"/>
    <n v="0"/>
    <n v="0"/>
    <n v="0"/>
    <m/>
    <n v="63.5"/>
    <s v="Unique"/>
    <s v="Valid"/>
    <s v="Valid"/>
    <s v="Valid"/>
    <s v="Valid"/>
    <s v="Valid"/>
    <s v="Outlier"/>
  </r>
  <r>
    <s v="USR-100101"/>
    <d v="2025-03-22T00:00:00"/>
    <x v="0"/>
    <x v="0"/>
    <x v="1"/>
    <x v="2"/>
    <x v="0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102"/>
    <d v="2025-04-08T00:00:00"/>
    <x v="0"/>
    <x v="1"/>
    <x v="1"/>
    <x v="2"/>
    <x v="1"/>
    <n v="1"/>
    <n v="0"/>
    <n v="0"/>
    <n v="0"/>
    <n v="0"/>
    <n v="0"/>
    <n v="0"/>
    <m/>
    <n v="74.400000000000006"/>
    <s v="Unique"/>
    <s v="Valid"/>
    <s v="Valid"/>
    <s v="Valid"/>
    <s v="Valid"/>
    <s v="Valid"/>
    <s v="Outlier"/>
  </r>
  <r>
    <s v="USR-100103"/>
    <d v="2025-04-14T00:00:00"/>
    <x v="0"/>
    <x v="0"/>
    <x v="0"/>
    <x v="4"/>
    <x v="1"/>
    <n v="1"/>
    <n v="1"/>
    <n v="1"/>
    <n v="1"/>
    <n v="3887.98"/>
    <n v="0"/>
    <n v="0"/>
    <n v="13"/>
    <n v="60.2"/>
    <s v="Unique"/>
    <s v="Valid"/>
    <s v="Valid"/>
    <s v="Valid"/>
    <s v="Valid"/>
    <s v="Valid"/>
    <s v="Outlier"/>
  </r>
  <r>
    <s v="USR-100104"/>
    <d v="2025-03-27T00:00:00"/>
    <x v="0"/>
    <x v="3"/>
    <x v="1"/>
    <x v="0"/>
    <x v="1"/>
    <n v="1"/>
    <n v="0"/>
    <n v="0"/>
    <n v="0"/>
    <n v="0"/>
    <n v="1"/>
    <n v="0"/>
    <m/>
    <n v="67.2"/>
    <s v="Unique"/>
    <s v="Valid"/>
    <s v="Valid"/>
    <s v="Valid"/>
    <s v="Valid"/>
    <s v="Valid"/>
    <s v="Outlier"/>
  </r>
  <r>
    <s v="USR-100105"/>
    <d v="2025-01-05T00:00:00"/>
    <x v="0"/>
    <x v="3"/>
    <x v="1"/>
    <x v="4"/>
    <x v="1"/>
    <n v="1"/>
    <n v="1"/>
    <n v="1"/>
    <n v="0"/>
    <n v="0"/>
    <n v="0"/>
    <n v="0"/>
    <m/>
    <n v="79.599999999999994"/>
    <s v="Unique"/>
    <s v="Valid"/>
    <s v="Valid"/>
    <s v="Valid"/>
    <s v="Valid"/>
    <s v="Valid"/>
    <s v="Outlier"/>
  </r>
  <r>
    <s v="USR-100106"/>
    <d v="2025-01-25T00:00:00"/>
    <x v="0"/>
    <x v="3"/>
    <x v="1"/>
    <x v="4"/>
    <x v="0"/>
    <n v="1"/>
    <n v="1"/>
    <n v="1"/>
    <n v="1"/>
    <n v="8610.7199999999993"/>
    <n v="0"/>
    <n v="0"/>
    <n v="6"/>
    <n v="61"/>
    <s v="Unique"/>
    <s v="Valid"/>
    <s v="Valid"/>
    <s v="Valid"/>
    <s v="Valid"/>
    <s v="Valid"/>
    <s v="Outlier"/>
  </r>
  <r>
    <s v="USR-100107"/>
    <d v="2025-01-23T00:00:00"/>
    <x v="0"/>
    <x v="1"/>
    <x v="1"/>
    <x v="0"/>
    <x v="1"/>
    <n v="1"/>
    <n v="1"/>
    <n v="1"/>
    <n v="0"/>
    <n v="0"/>
    <n v="4"/>
    <n v="0"/>
    <m/>
    <n v="51.1"/>
    <s v="Unique"/>
    <s v="Valid"/>
    <s v="Valid"/>
    <s v="Valid"/>
    <s v="Valid"/>
    <s v="Valid"/>
    <s v="Outlier"/>
  </r>
  <r>
    <s v="USR-100108"/>
    <d v="2025-05-25T00:00:00"/>
    <x v="0"/>
    <x v="2"/>
    <x v="0"/>
    <x v="3"/>
    <x v="1"/>
    <n v="1"/>
    <n v="0"/>
    <n v="0"/>
    <n v="0"/>
    <n v="0"/>
    <n v="0"/>
    <n v="0"/>
    <m/>
    <n v="92.1"/>
    <s v="Unique"/>
    <s v="Valid"/>
    <s v="Valid"/>
    <s v="Valid"/>
    <s v="Valid"/>
    <s v="Valid"/>
    <s v="Outlier"/>
  </r>
  <r>
    <s v="USR-100109"/>
    <d v="2025-03-22T00:00:00"/>
    <x v="0"/>
    <x v="3"/>
    <x v="1"/>
    <x v="3"/>
    <x v="0"/>
    <n v="0"/>
    <n v="0"/>
    <n v="0"/>
    <n v="0"/>
    <n v="0"/>
    <n v="0"/>
    <n v="0"/>
    <m/>
    <n v="82.1"/>
    <s v="Unique"/>
    <s v="Valid"/>
    <s v="Valid"/>
    <s v="Valid"/>
    <s v="Valid"/>
    <s v="Valid"/>
    <s v="Outlier"/>
  </r>
  <r>
    <s v="USR-100110"/>
    <d v="2025-02-12T00:00:00"/>
    <x v="0"/>
    <x v="1"/>
    <x v="0"/>
    <x v="2"/>
    <x v="0"/>
    <n v="1"/>
    <n v="0"/>
    <n v="0"/>
    <n v="0"/>
    <n v="0"/>
    <n v="1"/>
    <n v="0"/>
    <m/>
    <n v="74"/>
    <s v="Unique"/>
    <s v="Valid"/>
    <s v="Valid"/>
    <s v="Valid"/>
    <s v="Valid"/>
    <s v="Valid"/>
    <s v="Outlier"/>
  </r>
  <r>
    <s v="USR-100111"/>
    <d v="2025-04-28T00:00:00"/>
    <x v="0"/>
    <x v="1"/>
    <x v="0"/>
    <x v="1"/>
    <x v="0"/>
    <n v="1"/>
    <n v="0"/>
    <n v="0"/>
    <n v="0"/>
    <n v="0"/>
    <n v="0"/>
    <n v="0"/>
    <m/>
    <n v="63.4"/>
    <s v="Unique"/>
    <s v="Valid"/>
    <s v="Valid"/>
    <s v="Valid"/>
    <s v="Valid"/>
    <s v="Valid"/>
    <s v="Outlier"/>
  </r>
  <r>
    <s v="USR-100112"/>
    <d v="2025-01-30T00:00:00"/>
    <x v="0"/>
    <x v="0"/>
    <x v="1"/>
    <x v="1"/>
    <x v="0"/>
    <n v="1"/>
    <n v="0"/>
    <n v="0"/>
    <n v="0"/>
    <n v="0"/>
    <n v="0"/>
    <n v="0"/>
    <m/>
    <n v="53.2"/>
    <s v="Unique"/>
    <s v="Valid"/>
    <s v="Valid"/>
    <s v="Valid"/>
    <s v="Valid"/>
    <s v="Valid"/>
    <s v="Outlier"/>
  </r>
  <r>
    <s v="USR-100113"/>
    <d v="2025-05-19T00:00:00"/>
    <x v="0"/>
    <x v="2"/>
    <x v="2"/>
    <x v="2"/>
    <x v="1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114"/>
    <d v="2025-01-23T00:00:00"/>
    <x v="0"/>
    <x v="3"/>
    <x v="1"/>
    <x v="4"/>
    <x v="1"/>
    <n v="1"/>
    <n v="1"/>
    <n v="0"/>
    <n v="0"/>
    <n v="0"/>
    <n v="0"/>
    <n v="0"/>
    <m/>
    <n v="61.5"/>
    <s v="Unique"/>
    <s v="Valid"/>
    <s v="Valid"/>
    <s v="Valid"/>
    <s v="Valid"/>
    <s v="Valid"/>
    <s v="Outlier"/>
  </r>
  <r>
    <s v="USR-100115"/>
    <d v="2025-03-28T00:00:00"/>
    <x v="0"/>
    <x v="2"/>
    <x v="0"/>
    <x v="4"/>
    <x v="1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0116"/>
    <d v="2025-01-11T00:00:00"/>
    <x v="0"/>
    <x v="1"/>
    <x v="1"/>
    <x v="1"/>
    <x v="1"/>
    <n v="0"/>
    <n v="0"/>
    <n v="0"/>
    <n v="0"/>
    <n v="0"/>
    <n v="0"/>
    <n v="0"/>
    <m/>
    <n v="71.900000000000006"/>
    <s v="Unique"/>
    <s v="Valid"/>
    <s v="Valid"/>
    <s v="Valid"/>
    <s v="Valid"/>
    <s v="Valid"/>
    <s v="Outlier"/>
  </r>
  <r>
    <s v="USR-100117"/>
    <d v="2025-04-11T00:00:00"/>
    <x v="0"/>
    <x v="0"/>
    <x v="1"/>
    <x v="3"/>
    <x v="1"/>
    <n v="0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0118"/>
    <d v="2025-01-02T00:00:00"/>
    <x v="0"/>
    <x v="1"/>
    <x v="1"/>
    <x v="2"/>
    <x v="1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119"/>
    <d v="2025-03-18T00:00:00"/>
    <x v="0"/>
    <x v="2"/>
    <x v="1"/>
    <x v="4"/>
    <x v="1"/>
    <n v="1"/>
    <n v="1"/>
    <n v="1"/>
    <n v="0"/>
    <n v="0"/>
    <n v="0"/>
    <n v="0"/>
    <m/>
    <n v="39.1"/>
    <s v="Unique"/>
    <s v="Valid"/>
    <s v="Valid"/>
    <s v="Valid"/>
    <s v="Valid"/>
    <s v="Valid"/>
    <s v="Outlier"/>
  </r>
  <r>
    <s v="USR-100120"/>
    <d v="2025-03-31T00:00:00"/>
    <x v="0"/>
    <x v="0"/>
    <x v="1"/>
    <x v="0"/>
    <x v="1"/>
    <n v="1"/>
    <n v="0"/>
    <n v="0"/>
    <n v="0"/>
    <n v="0"/>
    <n v="0"/>
    <n v="0"/>
    <m/>
    <n v="43.8"/>
    <s v="Unique"/>
    <s v="Valid"/>
    <s v="Valid"/>
    <s v="Valid"/>
    <s v="Valid"/>
    <s v="Valid"/>
    <s v="Outlier"/>
  </r>
  <r>
    <s v="USR-100121"/>
    <d v="2025-01-06T00:00:00"/>
    <x v="0"/>
    <x v="0"/>
    <x v="1"/>
    <x v="2"/>
    <x v="0"/>
    <n v="1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122"/>
    <d v="2025-01-26T00:00:00"/>
    <x v="0"/>
    <x v="0"/>
    <x v="1"/>
    <x v="3"/>
    <x v="1"/>
    <n v="1"/>
    <n v="1"/>
    <n v="0"/>
    <n v="0"/>
    <n v="0"/>
    <n v="0"/>
    <n v="0"/>
    <m/>
    <n v="71.400000000000006"/>
    <s v="Unique"/>
    <s v="Valid"/>
    <s v="Valid"/>
    <s v="Valid"/>
    <s v="Valid"/>
    <s v="Valid"/>
    <s v="Outlier"/>
  </r>
  <r>
    <s v="USR-100123"/>
    <d v="2025-04-22T00:00:00"/>
    <x v="0"/>
    <x v="3"/>
    <x v="1"/>
    <x v="3"/>
    <x v="0"/>
    <n v="0"/>
    <n v="0"/>
    <n v="0"/>
    <n v="0"/>
    <n v="0"/>
    <n v="0"/>
    <n v="0"/>
    <m/>
    <n v="36.1"/>
    <s v="Unique"/>
    <s v="Valid"/>
    <s v="Valid"/>
    <s v="Valid"/>
    <s v="Valid"/>
    <s v="Valid"/>
    <s v="Outlier"/>
  </r>
  <r>
    <s v="USR-100124"/>
    <d v="2025-05-30T00:00:00"/>
    <x v="0"/>
    <x v="1"/>
    <x v="3"/>
    <x v="0"/>
    <x v="0"/>
    <n v="1"/>
    <n v="1"/>
    <n v="0"/>
    <n v="0"/>
    <n v="0"/>
    <n v="0"/>
    <n v="0"/>
    <m/>
    <n v="47.9"/>
    <s v="Unique"/>
    <s v="Valid"/>
    <s v="Valid"/>
    <s v="Valid"/>
    <s v="Valid"/>
    <s v="Valid"/>
    <s v="Outlier"/>
  </r>
  <r>
    <s v="USR-100125"/>
    <d v="2025-05-18T00:00:00"/>
    <x v="0"/>
    <x v="1"/>
    <x v="0"/>
    <x v="1"/>
    <x v="2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0126"/>
    <d v="2025-01-13T00:00:00"/>
    <x v="0"/>
    <x v="3"/>
    <x v="0"/>
    <x v="2"/>
    <x v="2"/>
    <n v="1"/>
    <n v="0"/>
    <n v="0"/>
    <n v="0"/>
    <n v="0"/>
    <n v="0"/>
    <n v="0"/>
    <m/>
    <n v="56.9"/>
    <s v="Unique"/>
    <s v="Valid"/>
    <s v="Valid"/>
    <s v="Valid"/>
    <s v="Valid"/>
    <s v="Valid"/>
    <s v="Outlier"/>
  </r>
  <r>
    <s v="USR-100127"/>
    <d v="2025-03-25T00:00:00"/>
    <x v="0"/>
    <x v="0"/>
    <x v="0"/>
    <x v="0"/>
    <x v="1"/>
    <n v="0"/>
    <n v="0"/>
    <n v="0"/>
    <n v="0"/>
    <n v="0"/>
    <n v="0"/>
    <n v="0"/>
    <m/>
    <n v="64.7"/>
    <s v="Unique"/>
    <s v="Valid"/>
    <s v="Valid"/>
    <s v="Valid"/>
    <s v="Valid"/>
    <s v="Valid"/>
    <s v="Outlier"/>
  </r>
  <r>
    <s v="USR-100128"/>
    <d v="2025-04-29T00:00:00"/>
    <x v="0"/>
    <x v="3"/>
    <x v="0"/>
    <x v="1"/>
    <x v="1"/>
    <n v="1"/>
    <n v="1"/>
    <n v="1"/>
    <n v="0"/>
    <n v="0"/>
    <n v="0"/>
    <n v="0"/>
    <m/>
    <n v="64"/>
    <s v="Unique"/>
    <s v="Valid"/>
    <s v="Valid"/>
    <s v="Valid"/>
    <s v="Valid"/>
    <s v="Valid"/>
    <s v="Outlier"/>
  </r>
  <r>
    <s v="USR-100129"/>
    <d v="2025-05-17T00:00:00"/>
    <x v="0"/>
    <x v="2"/>
    <x v="1"/>
    <x v="3"/>
    <x v="0"/>
    <n v="1"/>
    <n v="1"/>
    <n v="1"/>
    <n v="0"/>
    <n v="0"/>
    <n v="0"/>
    <n v="0"/>
    <m/>
    <n v="75.2"/>
    <s v="Unique"/>
    <s v="Valid"/>
    <s v="Valid"/>
    <s v="Valid"/>
    <s v="Valid"/>
    <s v="Valid"/>
    <s v="Outlier"/>
  </r>
  <r>
    <s v="USR-100130"/>
    <d v="2025-01-02T00:00:00"/>
    <x v="0"/>
    <x v="0"/>
    <x v="1"/>
    <x v="2"/>
    <x v="1"/>
    <n v="1"/>
    <n v="0"/>
    <n v="0"/>
    <n v="0"/>
    <n v="0"/>
    <n v="1"/>
    <n v="0"/>
    <m/>
    <n v="79"/>
    <s v="Unique"/>
    <s v="Valid"/>
    <s v="Valid"/>
    <s v="Valid"/>
    <s v="Valid"/>
    <s v="Valid"/>
    <s v="Outlier"/>
  </r>
  <r>
    <s v="USR-100131"/>
    <d v="2025-02-03T00:00:00"/>
    <x v="0"/>
    <x v="3"/>
    <x v="1"/>
    <x v="1"/>
    <x v="1"/>
    <n v="0"/>
    <n v="0"/>
    <n v="0"/>
    <n v="0"/>
    <n v="0"/>
    <n v="0"/>
    <n v="0"/>
    <m/>
    <n v="33"/>
    <s v="Unique"/>
    <s v="Valid"/>
    <s v="Valid"/>
    <s v="Valid"/>
    <s v="Valid"/>
    <s v="Valid"/>
    <s v="Outlier"/>
  </r>
  <r>
    <s v="USR-100132"/>
    <d v="2025-03-04T00:00:00"/>
    <x v="0"/>
    <x v="2"/>
    <x v="1"/>
    <x v="1"/>
    <x v="1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133"/>
    <d v="2025-01-26T00:00:00"/>
    <x v="0"/>
    <x v="3"/>
    <x v="1"/>
    <x v="2"/>
    <x v="0"/>
    <n v="0"/>
    <n v="0"/>
    <n v="0"/>
    <n v="0"/>
    <n v="0"/>
    <n v="0"/>
    <n v="0"/>
    <m/>
    <n v="42.2"/>
    <s v="Unique"/>
    <s v="Valid"/>
    <s v="Valid"/>
    <s v="Valid"/>
    <s v="Valid"/>
    <s v="Valid"/>
    <s v="Outlier"/>
  </r>
  <r>
    <s v="USR-100134"/>
    <d v="2025-05-12T00:00:00"/>
    <x v="0"/>
    <x v="1"/>
    <x v="1"/>
    <x v="2"/>
    <x v="0"/>
    <n v="1"/>
    <n v="1"/>
    <n v="1"/>
    <n v="0"/>
    <n v="0"/>
    <n v="0"/>
    <n v="0"/>
    <m/>
    <n v="43.4"/>
    <s v="Unique"/>
    <s v="Valid"/>
    <s v="Valid"/>
    <s v="Valid"/>
    <s v="Valid"/>
    <s v="Valid"/>
    <s v="Outlier"/>
  </r>
  <r>
    <s v="USR-100135"/>
    <d v="2025-03-06T00:00:00"/>
    <x v="0"/>
    <x v="0"/>
    <x v="1"/>
    <x v="1"/>
    <x v="0"/>
    <n v="0"/>
    <n v="0"/>
    <n v="0"/>
    <n v="0"/>
    <n v="0"/>
    <n v="0"/>
    <n v="0"/>
    <m/>
    <n v="54.4"/>
    <s v="Unique"/>
    <s v="Valid"/>
    <s v="Valid"/>
    <s v="Valid"/>
    <s v="Valid"/>
    <s v="Valid"/>
    <s v="Outlier"/>
  </r>
  <r>
    <s v="USR-100136"/>
    <d v="2025-03-10T00:00:00"/>
    <x v="0"/>
    <x v="3"/>
    <x v="0"/>
    <x v="0"/>
    <x v="2"/>
    <n v="0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0137"/>
    <d v="2025-05-06T00:00:00"/>
    <x v="0"/>
    <x v="0"/>
    <x v="1"/>
    <x v="2"/>
    <x v="1"/>
    <n v="0"/>
    <n v="0"/>
    <n v="0"/>
    <n v="0"/>
    <n v="0"/>
    <n v="3"/>
    <n v="0"/>
    <m/>
    <n v="32"/>
    <s v="Unique"/>
    <s v="Valid"/>
    <s v="Valid"/>
    <s v="Valid"/>
    <s v="Valid"/>
    <s v="Valid"/>
    <s v="Outlier"/>
  </r>
  <r>
    <s v="USR-100138"/>
    <d v="2025-02-23T00:00:00"/>
    <x v="0"/>
    <x v="3"/>
    <x v="0"/>
    <x v="2"/>
    <x v="1"/>
    <n v="1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0139"/>
    <d v="2025-01-29T00:00:00"/>
    <x v="0"/>
    <x v="1"/>
    <x v="1"/>
    <x v="4"/>
    <x v="0"/>
    <n v="1"/>
    <n v="1"/>
    <n v="1"/>
    <n v="0"/>
    <n v="0"/>
    <n v="0"/>
    <n v="0"/>
    <m/>
    <n v="59.1"/>
    <s v="Unique"/>
    <s v="Valid"/>
    <s v="Valid"/>
    <s v="Valid"/>
    <s v="Valid"/>
    <s v="Valid"/>
    <s v="Outlier"/>
  </r>
  <r>
    <s v="USR-100140"/>
    <d v="2025-01-31T00:00:00"/>
    <x v="0"/>
    <x v="0"/>
    <x v="1"/>
    <x v="1"/>
    <x v="0"/>
    <n v="0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0141"/>
    <d v="2025-01-19T00:00:00"/>
    <x v="0"/>
    <x v="3"/>
    <x v="1"/>
    <x v="1"/>
    <x v="1"/>
    <n v="0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142"/>
    <d v="2025-04-03T00:00:00"/>
    <x v="0"/>
    <x v="1"/>
    <x v="0"/>
    <x v="4"/>
    <x v="1"/>
    <n v="1"/>
    <n v="1"/>
    <n v="1"/>
    <n v="1"/>
    <n v="404.4"/>
    <n v="0"/>
    <n v="0"/>
    <n v="9"/>
    <n v="80.599999999999994"/>
    <s v="Unique"/>
    <s v="Valid"/>
    <s v="Valid"/>
    <s v="Valid"/>
    <s v="Valid"/>
    <s v="Valid"/>
    <s v="Outlier"/>
  </r>
  <r>
    <s v="USR-100143"/>
    <d v="2025-04-07T00:00:00"/>
    <x v="0"/>
    <x v="0"/>
    <x v="1"/>
    <x v="2"/>
    <x v="1"/>
    <n v="1"/>
    <n v="0"/>
    <n v="0"/>
    <n v="0"/>
    <n v="0"/>
    <n v="0"/>
    <n v="0"/>
    <m/>
    <n v="47.9"/>
    <s v="Unique"/>
    <s v="Valid"/>
    <s v="Valid"/>
    <s v="Valid"/>
    <s v="Valid"/>
    <s v="Valid"/>
    <s v="Outlier"/>
  </r>
  <r>
    <s v="USR-100144"/>
    <d v="2025-01-06T00:00:00"/>
    <x v="0"/>
    <x v="2"/>
    <x v="1"/>
    <x v="2"/>
    <x v="0"/>
    <n v="1"/>
    <n v="1"/>
    <n v="0"/>
    <n v="0"/>
    <n v="0"/>
    <n v="0"/>
    <n v="0"/>
    <m/>
    <n v="54.8"/>
    <s v="Unique"/>
    <s v="Valid"/>
    <s v="Valid"/>
    <s v="Valid"/>
    <s v="Valid"/>
    <s v="Valid"/>
    <s v="Outlier"/>
  </r>
  <r>
    <s v="USR-100145"/>
    <d v="2025-04-11T00:00:00"/>
    <x v="0"/>
    <x v="2"/>
    <x v="1"/>
    <x v="1"/>
    <x v="1"/>
    <n v="1"/>
    <n v="0"/>
    <n v="0"/>
    <n v="0"/>
    <n v="0"/>
    <n v="1"/>
    <n v="0"/>
    <m/>
    <n v="53.9"/>
    <s v="Unique"/>
    <s v="Valid"/>
    <s v="Valid"/>
    <s v="Valid"/>
    <s v="Valid"/>
    <s v="Valid"/>
    <s v="Outlier"/>
  </r>
  <r>
    <s v="USR-100146"/>
    <d v="2025-04-23T00:00:00"/>
    <x v="0"/>
    <x v="2"/>
    <x v="1"/>
    <x v="2"/>
    <x v="1"/>
    <n v="1"/>
    <n v="0"/>
    <n v="0"/>
    <n v="0"/>
    <n v="0"/>
    <n v="0"/>
    <n v="0"/>
    <m/>
    <n v="41.3"/>
    <s v="Unique"/>
    <s v="Valid"/>
    <s v="Valid"/>
    <s v="Valid"/>
    <s v="Valid"/>
    <s v="Valid"/>
    <s v="Outlier"/>
  </r>
  <r>
    <s v="USR-100147"/>
    <d v="2025-03-25T00:00:00"/>
    <x v="0"/>
    <x v="1"/>
    <x v="1"/>
    <x v="1"/>
    <x v="0"/>
    <n v="1"/>
    <n v="1"/>
    <n v="0"/>
    <n v="0"/>
    <n v="0"/>
    <n v="0"/>
    <n v="0"/>
    <m/>
    <n v="38.9"/>
    <s v="Unique"/>
    <s v="Valid"/>
    <s v="Valid"/>
    <s v="Valid"/>
    <s v="Valid"/>
    <s v="Valid"/>
    <s v="Outlier"/>
  </r>
  <r>
    <s v="USR-100148"/>
    <d v="2025-05-25T00:00:00"/>
    <x v="0"/>
    <x v="3"/>
    <x v="0"/>
    <x v="1"/>
    <x v="0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149"/>
    <d v="2025-01-28T00:00:00"/>
    <x v="0"/>
    <x v="0"/>
    <x v="1"/>
    <x v="1"/>
    <x v="1"/>
    <n v="1"/>
    <n v="1"/>
    <n v="1"/>
    <n v="1"/>
    <n v="577.94000000000005"/>
    <n v="0"/>
    <n v="0"/>
    <n v="9"/>
    <n v="76.599999999999994"/>
    <s v="Unique"/>
    <s v="Valid"/>
    <s v="Valid"/>
    <s v="Valid"/>
    <s v="Valid"/>
    <s v="Valid"/>
    <s v="Outlier"/>
  </r>
  <r>
    <s v="USR-100150"/>
    <d v="2025-02-12T00:00:00"/>
    <x v="0"/>
    <x v="1"/>
    <x v="1"/>
    <x v="2"/>
    <x v="2"/>
    <n v="0"/>
    <n v="0"/>
    <n v="0"/>
    <n v="0"/>
    <n v="0"/>
    <n v="1"/>
    <n v="0"/>
    <m/>
    <n v="67.599999999999994"/>
    <s v="Unique"/>
    <s v="Valid"/>
    <s v="Valid"/>
    <s v="Valid"/>
    <s v="Valid"/>
    <s v="Valid"/>
    <s v="Outlier"/>
  </r>
  <r>
    <s v="USR-100151"/>
    <d v="2025-04-29T00:00:00"/>
    <x v="0"/>
    <x v="0"/>
    <x v="1"/>
    <x v="4"/>
    <x v="2"/>
    <n v="1"/>
    <n v="0"/>
    <n v="0"/>
    <n v="0"/>
    <n v="0"/>
    <n v="0"/>
    <n v="0"/>
    <m/>
    <n v="43.1"/>
    <s v="Unique"/>
    <s v="Valid"/>
    <s v="Valid"/>
    <s v="Valid"/>
    <s v="Valid"/>
    <s v="Valid"/>
    <s v="Outlier"/>
  </r>
  <r>
    <s v="USR-100152"/>
    <d v="2025-03-13T00:00:00"/>
    <x v="0"/>
    <x v="3"/>
    <x v="1"/>
    <x v="0"/>
    <x v="1"/>
    <n v="1"/>
    <n v="0"/>
    <n v="0"/>
    <n v="0"/>
    <n v="0"/>
    <n v="0"/>
    <n v="0"/>
    <m/>
    <n v="58.3"/>
    <s v="Unique"/>
    <s v="Valid"/>
    <s v="Valid"/>
    <s v="Valid"/>
    <s v="Valid"/>
    <s v="Valid"/>
    <s v="Outlier"/>
  </r>
  <r>
    <s v="USR-100153"/>
    <d v="2025-02-04T00:00:00"/>
    <x v="0"/>
    <x v="2"/>
    <x v="0"/>
    <x v="2"/>
    <x v="1"/>
    <n v="1"/>
    <n v="0"/>
    <n v="0"/>
    <n v="0"/>
    <n v="0"/>
    <n v="0"/>
    <n v="0"/>
    <m/>
    <n v="69.8"/>
    <s v="Unique"/>
    <s v="Valid"/>
    <s v="Valid"/>
    <s v="Valid"/>
    <s v="Valid"/>
    <s v="Valid"/>
    <s v="Outlier"/>
  </r>
  <r>
    <s v="USR-100154"/>
    <d v="2025-03-04T00:00:00"/>
    <x v="0"/>
    <x v="3"/>
    <x v="1"/>
    <x v="3"/>
    <x v="1"/>
    <n v="1"/>
    <n v="1"/>
    <n v="0"/>
    <n v="0"/>
    <n v="0"/>
    <n v="0"/>
    <n v="0"/>
    <m/>
    <m/>
    <s v="Unique"/>
    <s v="Valid"/>
    <s v="Valid"/>
    <s v="Valid"/>
    <s v="Valid"/>
    <s v="Valid"/>
    <s v="Outlier"/>
  </r>
  <r>
    <s v="USR-100155"/>
    <d v="2025-02-04T00:00:00"/>
    <x v="0"/>
    <x v="1"/>
    <x v="1"/>
    <x v="2"/>
    <x v="0"/>
    <n v="1"/>
    <n v="1"/>
    <n v="0"/>
    <n v="0"/>
    <n v="0"/>
    <n v="0"/>
    <n v="0"/>
    <m/>
    <n v="41.9"/>
    <s v="Unique"/>
    <s v="Valid"/>
    <s v="Valid"/>
    <s v="Valid"/>
    <s v="Valid"/>
    <s v="Valid"/>
    <s v="Outlier"/>
  </r>
  <r>
    <s v="USR-100156"/>
    <d v="2025-03-11T00:00:00"/>
    <x v="0"/>
    <x v="0"/>
    <x v="0"/>
    <x v="1"/>
    <x v="1"/>
    <n v="0"/>
    <n v="0"/>
    <n v="0"/>
    <n v="0"/>
    <n v="0"/>
    <n v="0"/>
    <n v="0"/>
    <m/>
    <n v="33.1"/>
    <s v="Unique"/>
    <s v="Valid"/>
    <s v="Valid"/>
    <s v="Valid"/>
    <s v="Valid"/>
    <s v="Valid"/>
    <s v="Outlier"/>
  </r>
  <r>
    <s v="USR-100157"/>
    <d v="2025-04-22T00:00:00"/>
    <x v="0"/>
    <x v="1"/>
    <x v="1"/>
    <x v="1"/>
    <x v="1"/>
    <n v="0"/>
    <n v="0"/>
    <n v="0"/>
    <n v="0"/>
    <n v="0"/>
    <n v="0"/>
    <n v="0"/>
    <m/>
    <n v="58.6"/>
    <s v="Unique"/>
    <s v="Valid"/>
    <s v="Valid"/>
    <s v="Valid"/>
    <s v="Valid"/>
    <s v="Valid"/>
    <s v="Outlier"/>
  </r>
  <r>
    <s v="USR-100158"/>
    <d v="2025-03-08T00:00:00"/>
    <x v="0"/>
    <x v="0"/>
    <x v="0"/>
    <x v="2"/>
    <x v="1"/>
    <n v="0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159"/>
    <d v="2025-03-10T00:00:00"/>
    <x v="0"/>
    <x v="2"/>
    <x v="1"/>
    <x v="1"/>
    <x v="1"/>
    <n v="0"/>
    <n v="0"/>
    <n v="0"/>
    <n v="0"/>
    <n v="0"/>
    <n v="2"/>
    <n v="0"/>
    <m/>
    <n v="64.900000000000006"/>
    <s v="Unique"/>
    <s v="Valid"/>
    <s v="Valid"/>
    <s v="Valid"/>
    <s v="Valid"/>
    <s v="Valid"/>
    <s v="Outlier"/>
  </r>
  <r>
    <s v="USR-100160"/>
    <d v="2025-05-18T00:00:00"/>
    <x v="0"/>
    <x v="0"/>
    <x v="0"/>
    <x v="2"/>
    <x v="0"/>
    <n v="0"/>
    <n v="0"/>
    <n v="0"/>
    <n v="0"/>
    <n v="0"/>
    <n v="0"/>
    <n v="0"/>
    <m/>
    <n v="72.3"/>
    <s v="Unique"/>
    <s v="Valid"/>
    <s v="Valid"/>
    <s v="Valid"/>
    <s v="Valid"/>
    <s v="Valid"/>
    <s v="Outlier"/>
  </r>
  <r>
    <s v="USR-100161"/>
    <d v="2025-05-14T00:00:00"/>
    <x v="0"/>
    <x v="0"/>
    <x v="1"/>
    <x v="4"/>
    <x v="0"/>
    <n v="0"/>
    <n v="0"/>
    <n v="0"/>
    <n v="0"/>
    <n v="0"/>
    <n v="0"/>
    <n v="0"/>
    <m/>
    <n v="42.1"/>
    <s v="Unique"/>
    <s v="Valid"/>
    <s v="Valid"/>
    <s v="Valid"/>
    <s v="Valid"/>
    <s v="Valid"/>
    <s v="Outlier"/>
  </r>
  <r>
    <s v="USR-100162"/>
    <d v="2025-02-01T00:00:00"/>
    <x v="0"/>
    <x v="0"/>
    <x v="1"/>
    <x v="1"/>
    <x v="1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0163"/>
    <d v="2025-04-11T00:00:00"/>
    <x v="0"/>
    <x v="3"/>
    <x v="1"/>
    <x v="1"/>
    <x v="0"/>
    <n v="0"/>
    <n v="0"/>
    <n v="0"/>
    <n v="0"/>
    <n v="0"/>
    <n v="1"/>
    <n v="0"/>
    <m/>
    <n v="64.8"/>
    <s v="Unique"/>
    <s v="Valid"/>
    <s v="Valid"/>
    <s v="Valid"/>
    <s v="Valid"/>
    <s v="Valid"/>
    <s v="Outlier"/>
  </r>
  <r>
    <s v="USR-100164"/>
    <d v="2025-02-14T00:00:00"/>
    <x v="0"/>
    <x v="2"/>
    <x v="1"/>
    <x v="1"/>
    <x v="1"/>
    <n v="0"/>
    <n v="0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0165"/>
    <d v="2025-05-19T00:00:00"/>
    <x v="0"/>
    <x v="2"/>
    <x v="1"/>
    <x v="4"/>
    <x v="1"/>
    <n v="1"/>
    <n v="0"/>
    <n v="0"/>
    <n v="0"/>
    <n v="0"/>
    <n v="0"/>
    <n v="0"/>
    <m/>
    <n v="50.6"/>
    <s v="Unique"/>
    <s v="Valid"/>
    <s v="Valid"/>
    <s v="Valid"/>
    <s v="Valid"/>
    <s v="Valid"/>
    <s v="Outlier"/>
  </r>
  <r>
    <s v="USR-100166"/>
    <d v="2025-04-26T00:00:00"/>
    <x v="0"/>
    <x v="0"/>
    <x v="0"/>
    <x v="2"/>
    <x v="0"/>
    <n v="1"/>
    <n v="1"/>
    <n v="1"/>
    <n v="1"/>
    <n v="1281.25"/>
    <n v="1"/>
    <n v="0"/>
    <n v="9"/>
    <n v="43.4"/>
    <s v="Unique"/>
    <s v="Valid"/>
    <s v="Valid"/>
    <s v="Valid"/>
    <s v="Valid"/>
    <s v="Valid"/>
    <s v="Outlier"/>
  </r>
  <r>
    <s v="USR-100167"/>
    <d v="2025-04-06T00:00:00"/>
    <x v="0"/>
    <x v="3"/>
    <x v="1"/>
    <x v="4"/>
    <x v="1"/>
    <n v="1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0168"/>
    <d v="2025-03-06T00:00:00"/>
    <x v="0"/>
    <x v="3"/>
    <x v="1"/>
    <x v="2"/>
    <x v="1"/>
    <n v="1"/>
    <n v="0"/>
    <n v="0"/>
    <n v="0"/>
    <n v="0"/>
    <n v="1"/>
    <n v="0"/>
    <m/>
    <m/>
    <s v="Unique"/>
    <s v="Valid"/>
    <s v="Valid"/>
    <s v="Valid"/>
    <s v="Valid"/>
    <s v="Valid"/>
    <s v="Outlier"/>
  </r>
  <r>
    <s v="USR-100169"/>
    <d v="2025-03-10T00:00:00"/>
    <x v="0"/>
    <x v="1"/>
    <x v="1"/>
    <x v="4"/>
    <x v="0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170"/>
    <d v="2025-03-30T00:00:00"/>
    <x v="0"/>
    <x v="0"/>
    <x v="1"/>
    <x v="1"/>
    <x v="1"/>
    <n v="1"/>
    <n v="0"/>
    <n v="0"/>
    <n v="0"/>
    <n v="0"/>
    <n v="0"/>
    <n v="0"/>
    <m/>
    <n v="71.099999999999994"/>
    <s v="Unique"/>
    <s v="Valid"/>
    <s v="Valid"/>
    <s v="Valid"/>
    <s v="Valid"/>
    <s v="Valid"/>
    <s v="Outlier"/>
  </r>
  <r>
    <s v="USR-100171"/>
    <d v="2025-05-29T00:00:00"/>
    <x v="0"/>
    <x v="2"/>
    <x v="3"/>
    <x v="2"/>
    <x v="1"/>
    <n v="1"/>
    <n v="1"/>
    <n v="1"/>
    <n v="0"/>
    <n v="0"/>
    <n v="0"/>
    <n v="0"/>
    <m/>
    <n v="44.4"/>
    <s v="Unique"/>
    <s v="Valid"/>
    <s v="Valid"/>
    <s v="Valid"/>
    <s v="Valid"/>
    <s v="Valid"/>
    <s v="Outlier"/>
  </r>
  <r>
    <s v="USR-100172"/>
    <d v="2025-03-23T00:00:00"/>
    <x v="0"/>
    <x v="0"/>
    <x v="1"/>
    <x v="1"/>
    <x v="1"/>
    <n v="1"/>
    <n v="0"/>
    <n v="0"/>
    <n v="0"/>
    <n v="0"/>
    <n v="0"/>
    <n v="0"/>
    <m/>
    <n v="61.7"/>
    <s v="Unique"/>
    <s v="Valid"/>
    <s v="Valid"/>
    <s v="Valid"/>
    <s v="Valid"/>
    <s v="Valid"/>
    <s v="Outlier"/>
  </r>
  <r>
    <s v="USR-100173"/>
    <d v="2025-02-18T00:00:00"/>
    <x v="0"/>
    <x v="0"/>
    <x v="2"/>
    <x v="1"/>
    <x v="0"/>
    <n v="0"/>
    <n v="0"/>
    <n v="0"/>
    <n v="0"/>
    <n v="0"/>
    <n v="1"/>
    <n v="0"/>
    <m/>
    <n v="81.3"/>
    <s v="Unique"/>
    <s v="Valid"/>
    <s v="Valid"/>
    <s v="Valid"/>
    <s v="Valid"/>
    <s v="Valid"/>
    <s v="Outlier"/>
  </r>
  <r>
    <s v="USR-100174"/>
    <d v="2025-01-26T00:00:00"/>
    <x v="0"/>
    <x v="0"/>
    <x v="0"/>
    <x v="0"/>
    <x v="1"/>
    <n v="1"/>
    <n v="0"/>
    <n v="0"/>
    <n v="0"/>
    <n v="0"/>
    <n v="2"/>
    <n v="0"/>
    <m/>
    <n v="28.7"/>
    <s v="Unique"/>
    <s v="Valid"/>
    <s v="Valid"/>
    <s v="Valid"/>
    <s v="Valid"/>
    <s v="Valid"/>
    <s v="Outlier"/>
  </r>
  <r>
    <s v="USR-100175"/>
    <d v="2025-04-23T00:00:00"/>
    <x v="0"/>
    <x v="2"/>
    <x v="1"/>
    <x v="4"/>
    <x v="0"/>
    <n v="0"/>
    <n v="0"/>
    <n v="0"/>
    <n v="0"/>
    <n v="0"/>
    <n v="0"/>
    <n v="0"/>
    <m/>
    <n v="53"/>
    <s v="Unique"/>
    <s v="Valid"/>
    <s v="Valid"/>
    <s v="Valid"/>
    <s v="Valid"/>
    <s v="Valid"/>
    <s v="Outlier"/>
  </r>
  <r>
    <s v="USR-100176"/>
    <d v="2025-03-16T00:00:00"/>
    <x v="0"/>
    <x v="3"/>
    <x v="2"/>
    <x v="3"/>
    <x v="0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0177"/>
    <d v="2025-04-29T00:00:00"/>
    <x v="0"/>
    <x v="1"/>
    <x v="1"/>
    <x v="1"/>
    <x v="0"/>
    <n v="1"/>
    <n v="0"/>
    <n v="0"/>
    <n v="0"/>
    <n v="0"/>
    <n v="0"/>
    <n v="0"/>
    <m/>
    <n v="58.2"/>
    <s v="Unique"/>
    <s v="Valid"/>
    <s v="Valid"/>
    <s v="Valid"/>
    <s v="Valid"/>
    <s v="Valid"/>
    <s v="Outlier"/>
  </r>
  <r>
    <s v="USR-100178"/>
    <d v="2025-04-06T00:00:00"/>
    <x v="0"/>
    <x v="0"/>
    <x v="1"/>
    <x v="1"/>
    <x v="1"/>
    <n v="0"/>
    <n v="0"/>
    <n v="0"/>
    <n v="0"/>
    <n v="0"/>
    <n v="0"/>
    <n v="0"/>
    <m/>
    <n v="80.599999999999994"/>
    <s v="Unique"/>
    <s v="Valid"/>
    <s v="Valid"/>
    <s v="Valid"/>
    <s v="Valid"/>
    <s v="Valid"/>
    <s v="Outlier"/>
  </r>
  <r>
    <s v="USR-100179"/>
    <d v="2025-04-17T00:00:00"/>
    <x v="0"/>
    <x v="0"/>
    <x v="0"/>
    <x v="3"/>
    <x v="2"/>
    <n v="1"/>
    <n v="1"/>
    <n v="1"/>
    <n v="0"/>
    <n v="0"/>
    <n v="0"/>
    <n v="0"/>
    <m/>
    <n v="38.4"/>
    <s v="Unique"/>
    <s v="Valid"/>
    <s v="Valid"/>
    <s v="Valid"/>
    <s v="Valid"/>
    <s v="Valid"/>
    <s v="Outlier"/>
  </r>
  <r>
    <s v="USR-100180"/>
    <d v="2025-04-03T00:00:00"/>
    <x v="0"/>
    <x v="3"/>
    <x v="1"/>
    <x v="2"/>
    <x v="1"/>
    <n v="1"/>
    <n v="0"/>
    <n v="0"/>
    <n v="0"/>
    <n v="0"/>
    <n v="0"/>
    <n v="0"/>
    <m/>
    <n v="56.1"/>
    <s v="Unique"/>
    <s v="Valid"/>
    <s v="Valid"/>
    <s v="Valid"/>
    <s v="Valid"/>
    <s v="Valid"/>
    <s v="Outlier"/>
  </r>
  <r>
    <s v="USR-100181"/>
    <d v="2025-04-25T00:00:00"/>
    <x v="0"/>
    <x v="1"/>
    <x v="1"/>
    <x v="2"/>
    <x v="1"/>
    <n v="0"/>
    <n v="0"/>
    <n v="0"/>
    <n v="0"/>
    <n v="0"/>
    <n v="0"/>
    <n v="0"/>
    <m/>
    <n v="62.6"/>
    <s v="Unique"/>
    <s v="Valid"/>
    <s v="Valid"/>
    <s v="Valid"/>
    <s v="Valid"/>
    <s v="Valid"/>
    <s v="Outlier"/>
  </r>
  <r>
    <s v="USR-100182"/>
    <d v="2025-04-30T00:00:00"/>
    <x v="0"/>
    <x v="3"/>
    <x v="1"/>
    <x v="1"/>
    <x v="2"/>
    <n v="0"/>
    <n v="0"/>
    <n v="0"/>
    <n v="0"/>
    <n v="0"/>
    <n v="0"/>
    <n v="0"/>
    <m/>
    <n v="36.299999999999997"/>
    <s v="Unique"/>
    <s v="Valid"/>
    <s v="Valid"/>
    <s v="Valid"/>
    <s v="Valid"/>
    <s v="Valid"/>
    <s v="Outlier"/>
  </r>
  <r>
    <s v="USR-100183"/>
    <d v="2025-03-12T00:00:00"/>
    <x v="0"/>
    <x v="3"/>
    <x v="1"/>
    <x v="2"/>
    <x v="1"/>
    <n v="1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184"/>
    <d v="2025-05-04T00:00:00"/>
    <x v="0"/>
    <x v="3"/>
    <x v="1"/>
    <x v="1"/>
    <x v="1"/>
    <n v="1"/>
    <n v="0"/>
    <n v="0"/>
    <n v="0"/>
    <n v="0"/>
    <n v="0"/>
    <n v="0"/>
    <m/>
    <n v="45.1"/>
    <s v="Unique"/>
    <s v="Valid"/>
    <s v="Valid"/>
    <s v="Valid"/>
    <s v="Valid"/>
    <s v="Valid"/>
    <s v="Outlier"/>
  </r>
  <r>
    <s v="USR-100185"/>
    <d v="2025-02-07T00:00:00"/>
    <x v="0"/>
    <x v="3"/>
    <x v="2"/>
    <x v="2"/>
    <x v="2"/>
    <n v="0"/>
    <n v="0"/>
    <n v="0"/>
    <n v="0"/>
    <n v="0"/>
    <n v="0"/>
    <n v="0"/>
    <m/>
    <n v="67.5"/>
    <s v="Unique"/>
    <s v="Valid"/>
    <s v="Valid"/>
    <s v="Valid"/>
    <s v="Valid"/>
    <s v="Valid"/>
    <s v="Outlier"/>
  </r>
  <r>
    <s v="USR-100186"/>
    <d v="2025-04-28T00:00:00"/>
    <x v="0"/>
    <x v="2"/>
    <x v="2"/>
    <x v="0"/>
    <x v="0"/>
    <n v="1"/>
    <n v="1"/>
    <n v="1"/>
    <n v="0"/>
    <n v="0"/>
    <n v="0"/>
    <n v="0"/>
    <m/>
    <n v="80"/>
    <s v="Unique"/>
    <s v="Valid"/>
    <s v="Valid"/>
    <s v="Valid"/>
    <s v="Valid"/>
    <s v="Valid"/>
    <s v="Outlier"/>
  </r>
  <r>
    <s v="USR-100187"/>
    <d v="2025-05-15T00:00:00"/>
    <x v="0"/>
    <x v="2"/>
    <x v="0"/>
    <x v="3"/>
    <x v="1"/>
    <n v="0"/>
    <n v="0"/>
    <n v="0"/>
    <n v="0"/>
    <n v="0"/>
    <n v="0"/>
    <n v="0"/>
    <m/>
    <n v="56.4"/>
    <s v="Unique"/>
    <s v="Valid"/>
    <s v="Valid"/>
    <s v="Valid"/>
    <s v="Valid"/>
    <s v="Valid"/>
    <s v="Outlier"/>
  </r>
  <r>
    <s v="USR-100188"/>
    <d v="2025-01-18T00:00:00"/>
    <x v="0"/>
    <x v="1"/>
    <x v="1"/>
    <x v="2"/>
    <x v="0"/>
    <n v="0"/>
    <n v="0"/>
    <n v="0"/>
    <n v="0"/>
    <n v="0"/>
    <n v="0"/>
    <n v="0"/>
    <m/>
    <n v="55.4"/>
    <s v="Unique"/>
    <s v="Valid"/>
    <s v="Valid"/>
    <s v="Valid"/>
    <s v="Valid"/>
    <s v="Valid"/>
    <s v="Outlier"/>
  </r>
  <r>
    <s v="USR-100189"/>
    <d v="2025-02-15T00:00:00"/>
    <x v="0"/>
    <x v="3"/>
    <x v="1"/>
    <x v="4"/>
    <x v="0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190"/>
    <d v="2025-02-18T00:00:00"/>
    <x v="0"/>
    <x v="0"/>
    <x v="2"/>
    <x v="0"/>
    <x v="1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0191"/>
    <d v="2025-01-30T00:00:00"/>
    <x v="0"/>
    <x v="3"/>
    <x v="0"/>
    <x v="0"/>
    <x v="0"/>
    <n v="1"/>
    <n v="1"/>
    <n v="1"/>
    <n v="0"/>
    <n v="0"/>
    <n v="0"/>
    <n v="0"/>
    <m/>
    <n v="54.3"/>
    <s v="Unique"/>
    <s v="Valid"/>
    <s v="Valid"/>
    <s v="Valid"/>
    <s v="Valid"/>
    <s v="Valid"/>
    <s v="Outlier"/>
  </r>
  <r>
    <s v="USR-100192"/>
    <d v="2025-02-09T00:00:00"/>
    <x v="0"/>
    <x v="3"/>
    <x v="0"/>
    <x v="1"/>
    <x v="0"/>
    <n v="1"/>
    <n v="0"/>
    <n v="0"/>
    <n v="0"/>
    <n v="0"/>
    <n v="0"/>
    <n v="0"/>
    <m/>
    <n v="37.5"/>
    <s v="Unique"/>
    <s v="Valid"/>
    <s v="Valid"/>
    <s v="Valid"/>
    <s v="Valid"/>
    <s v="Valid"/>
    <s v="Outlier"/>
  </r>
  <r>
    <s v="USR-100193"/>
    <d v="2025-03-16T00:00:00"/>
    <x v="0"/>
    <x v="1"/>
    <x v="1"/>
    <x v="2"/>
    <x v="0"/>
    <n v="1"/>
    <n v="0"/>
    <n v="0"/>
    <n v="0"/>
    <n v="0"/>
    <n v="0"/>
    <n v="0"/>
    <m/>
    <n v="52.6"/>
    <s v="Unique"/>
    <s v="Valid"/>
    <s v="Valid"/>
    <s v="Valid"/>
    <s v="Valid"/>
    <s v="Valid"/>
    <s v="Outlier"/>
  </r>
  <r>
    <s v="USR-100194"/>
    <d v="2025-05-19T00:00:00"/>
    <x v="0"/>
    <x v="0"/>
    <x v="1"/>
    <x v="2"/>
    <x v="1"/>
    <n v="1"/>
    <n v="0"/>
    <n v="0"/>
    <n v="0"/>
    <n v="0"/>
    <n v="0"/>
    <n v="0"/>
    <m/>
    <n v="46.1"/>
    <s v="Unique"/>
    <s v="Valid"/>
    <s v="Valid"/>
    <s v="Valid"/>
    <s v="Valid"/>
    <s v="Valid"/>
    <s v="Outlier"/>
  </r>
  <r>
    <s v="USR-100195"/>
    <d v="2025-05-16T00:00:00"/>
    <x v="0"/>
    <x v="3"/>
    <x v="0"/>
    <x v="1"/>
    <x v="0"/>
    <n v="1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0196"/>
    <d v="2025-04-25T00:00:00"/>
    <x v="0"/>
    <x v="1"/>
    <x v="0"/>
    <x v="3"/>
    <x v="0"/>
    <n v="0"/>
    <n v="0"/>
    <n v="0"/>
    <n v="0"/>
    <n v="0"/>
    <n v="0"/>
    <n v="0"/>
    <m/>
    <n v="74.2"/>
    <s v="Unique"/>
    <s v="Valid"/>
    <s v="Valid"/>
    <s v="Valid"/>
    <s v="Valid"/>
    <s v="Valid"/>
    <s v="Outlier"/>
  </r>
  <r>
    <s v="USR-100197"/>
    <d v="2025-02-27T00:00:00"/>
    <x v="0"/>
    <x v="0"/>
    <x v="1"/>
    <x v="4"/>
    <x v="0"/>
    <n v="1"/>
    <n v="1"/>
    <n v="1"/>
    <n v="1"/>
    <n v="1052.8"/>
    <n v="2"/>
    <n v="0"/>
    <n v="6"/>
    <n v="64.7"/>
    <s v="Unique"/>
    <s v="Valid"/>
    <s v="Valid"/>
    <s v="Valid"/>
    <s v="Valid"/>
    <s v="Valid"/>
    <s v="Outlier"/>
  </r>
  <r>
    <s v="USR-100198"/>
    <d v="2025-04-26T00:00:00"/>
    <x v="0"/>
    <x v="3"/>
    <x v="1"/>
    <x v="2"/>
    <x v="0"/>
    <n v="0"/>
    <n v="0"/>
    <n v="0"/>
    <n v="0"/>
    <n v="0"/>
    <n v="0"/>
    <n v="0"/>
    <m/>
    <n v="65.900000000000006"/>
    <s v="Unique"/>
    <s v="Valid"/>
    <s v="Valid"/>
    <s v="Valid"/>
    <s v="Valid"/>
    <s v="Valid"/>
    <s v="Outlier"/>
  </r>
  <r>
    <s v="USR-100199"/>
    <d v="2025-05-14T00:00:00"/>
    <x v="0"/>
    <x v="0"/>
    <x v="1"/>
    <x v="1"/>
    <x v="0"/>
    <n v="1"/>
    <n v="0"/>
    <n v="0"/>
    <n v="0"/>
    <n v="0"/>
    <n v="0"/>
    <n v="0"/>
    <m/>
    <n v="64"/>
    <s v="Unique"/>
    <s v="Valid"/>
    <s v="Valid"/>
    <s v="Valid"/>
    <s v="Valid"/>
    <s v="Valid"/>
    <s v="Outlier"/>
  </r>
  <r>
    <s v="USR-100200"/>
    <d v="2025-03-05T00:00:00"/>
    <x v="0"/>
    <x v="0"/>
    <x v="1"/>
    <x v="1"/>
    <x v="2"/>
    <n v="1"/>
    <n v="0"/>
    <n v="0"/>
    <n v="0"/>
    <n v="0"/>
    <n v="0"/>
    <n v="0"/>
    <m/>
    <n v="57.2"/>
    <s v="Unique"/>
    <s v="Valid"/>
    <s v="Valid"/>
    <s v="Valid"/>
    <s v="Valid"/>
    <s v="Valid"/>
    <s v="Outlier"/>
  </r>
  <r>
    <s v="USR-100201"/>
    <d v="2025-04-02T00:00:00"/>
    <x v="0"/>
    <x v="1"/>
    <x v="0"/>
    <x v="1"/>
    <x v="1"/>
    <n v="1"/>
    <n v="0"/>
    <n v="0"/>
    <n v="0"/>
    <n v="0"/>
    <n v="0"/>
    <n v="0"/>
    <m/>
    <n v="80.5"/>
    <s v="Unique"/>
    <s v="Valid"/>
    <s v="Valid"/>
    <s v="Valid"/>
    <s v="Valid"/>
    <s v="Valid"/>
    <s v="Outlier"/>
  </r>
  <r>
    <s v="USR-100202"/>
    <d v="2025-05-14T00:00:00"/>
    <x v="0"/>
    <x v="3"/>
    <x v="2"/>
    <x v="1"/>
    <x v="1"/>
    <n v="0"/>
    <n v="0"/>
    <n v="0"/>
    <n v="0"/>
    <n v="0"/>
    <n v="0"/>
    <n v="0"/>
    <m/>
    <n v="53.9"/>
    <s v="Unique"/>
    <s v="Valid"/>
    <s v="Valid"/>
    <s v="Valid"/>
    <s v="Valid"/>
    <s v="Valid"/>
    <s v="Outlier"/>
  </r>
  <r>
    <s v="USR-100203"/>
    <d v="2025-05-21T00:00:00"/>
    <x v="0"/>
    <x v="0"/>
    <x v="1"/>
    <x v="2"/>
    <x v="1"/>
    <n v="1"/>
    <n v="1"/>
    <n v="0"/>
    <n v="0"/>
    <n v="0"/>
    <n v="0"/>
    <n v="0"/>
    <m/>
    <n v="77.5"/>
    <s v="Unique"/>
    <s v="Valid"/>
    <s v="Valid"/>
    <s v="Valid"/>
    <s v="Valid"/>
    <s v="Valid"/>
    <s v="Outlier"/>
  </r>
  <r>
    <s v="USR-100204"/>
    <d v="2025-01-27T00:00:00"/>
    <x v="0"/>
    <x v="2"/>
    <x v="1"/>
    <x v="4"/>
    <x v="0"/>
    <n v="0"/>
    <n v="0"/>
    <n v="0"/>
    <n v="0"/>
    <n v="0"/>
    <n v="0"/>
    <n v="0"/>
    <m/>
    <n v="84.2"/>
    <s v="Unique"/>
    <s v="Valid"/>
    <s v="Valid"/>
    <s v="Valid"/>
    <s v="Valid"/>
    <s v="Valid"/>
    <s v="Outlier"/>
  </r>
  <r>
    <s v="USR-100205"/>
    <d v="2025-05-22T00:00:00"/>
    <x v="0"/>
    <x v="1"/>
    <x v="0"/>
    <x v="1"/>
    <x v="1"/>
    <n v="1"/>
    <n v="1"/>
    <n v="0"/>
    <n v="0"/>
    <n v="0"/>
    <n v="0"/>
    <n v="0"/>
    <m/>
    <n v="54.9"/>
    <s v="Unique"/>
    <s v="Valid"/>
    <s v="Valid"/>
    <s v="Valid"/>
    <s v="Valid"/>
    <s v="Valid"/>
    <s v="Outlier"/>
  </r>
  <r>
    <s v="USR-100206"/>
    <d v="2025-05-19T00:00:00"/>
    <x v="0"/>
    <x v="3"/>
    <x v="1"/>
    <x v="2"/>
    <x v="1"/>
    <n v="0"/>
    <n v="0"/>
    <n v="0"/>
    <n v="0"/>
    <n v="0"/>
    <n v="0"/>
    <n v="0"/>
    <m/>
    <n v="69.3"/>
    <s v="Unique"/>
    <s v="Valid"/>
    <s v="Valid"/>
    <s v="Valid"/>
    <s v="Valid"/>
    <s v="Valid"/>
    <s v="Outlier"/>
  </r>
  <r>
    <s v="USR-100207"/>
    <d v="2025-01-14T00:00:00"/>
    <x v="0"/>
    <x v="3"/>
    <x v="0"/>
    <x v="2"/>
    <x v="1"/>
    <n v="1"/>
    <n v="0"/>
    <n v="0"/>
    <n v="0"/>
    <n v="0"/>
    <n v="2"/>
    <n v="0"/>
    <m/>
    <n v="42.3"/>
    <s v="Unique"/>
    <s v="Valid"/>
    <s v="Valid"/>
    <s v="Valid"/>
    <s v="Valid"/>
    <s v="Valid"/>
    <s v="Outlier"/>
  </r>
  <r>
    <s v="USR-100208"/>
    <d v="2025-01-21T00:00:00"/>
    <x v="0"/>
    <x v="0"/>
    <x v="0"/>
    <x v="3"/>
    <x v="2"/>
    <n v="1"/>
    <n v="0"/>
    <n v="0"/>
    <n v="0"/>
    <n v="0"/>
    <n v="1"/>
    <n v="0"/>
    <m/>
    <n v="69.599999999999994"/>
    <s v="Unique"/>
    <s v="Valid"/>
    <s v="Valid"/>
    <s v="Valid"/>
    <s v="Valid"/>
    <s v="Valid"/>
    <s v="Outlier"/>
  </r>
  <r>
    <s v="USR-100209"/>
    <d v="2025-05-16T00:00:00"/>
    <x v="0"/>
    <x v="2"/>
    <x v="1"/>
    <x v="1"/>
    <x v="1"/>
    <n v="0"/>
    <n v="0"/>
    <n v="0"/>
    <n v="0"/>
    <n v="0"/>
    <n v="0"/>
    <n v="0"/>
    <m/>
    <n v="40.700000000000003"/>
    <s v="Unique"/>
    <s v="Valid"/>
    <s v="Valid"/>
    <s v="Valid"/>
    <s v="Valid"/>
    <s v="Valid"/>
    <s v="Outlier"/>
  </r>
  <r>
    <s v="USR-100210"/>
    <d v="2025-02-02T00:00:00"/>
    <x v="0"/>
    <x v="0"/>
    <x v="1"/>
    <x v="0"/>
    <x v="1"/>
    <n v="1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211"/>
    <d v="2025-03-23T00:00:00"/>
    <x v="0"/>
    <x v="2"/>
    <x v="3"/>
    <x v="3"/>
    <x v="1"/>
    <n v="1"/>
    <n v="1"/>
    <n v="1"/>
    <n v="1"/>
    <n v="553.37"/>
    <n v="0"/>
    <n v="0"/>
    <n v="5"/>
    <n v="46.3"/>
    <s v="Unique"/>
    <s v="Valid"/>
    <s v="Valid"/>
    <s v="Valid"/>
    <s v="Valid"/>
    <s v="Valid"/>
    <s v="Outlier"/>
  </r>
  <r>
    <s v="USR-100212"/>
    <d v="2025-01-24T00:00:00"/>
    <x v="0"/>
    <x v="2"/>
    <x v="1"/>
    <x v="1"/>
    <x v="1"/>
    <n v="1"/>
    <n v="0"/>
    <n v="0"/>
    <n v="0"/>
    <n v="0"/>
    <n v="0"/>
    <n v="0"/>
    <m/>
    <n v="64.2"/>
    <s v="Unique"/>
    <s v="Valid"/>
    <s v="Valid"/>
    <s v="Valid"/>
    <s v="Valid"/>
    <s v="Valid"/>
    <s v="Outlier"/>
  </r>
  <r>
    <s v="USR-100213"/>
    <d v="2025-04-12T00:00:00"/>
    <x v="0"/>
    <x v="0"/>
    <x v="0"/>
    <x v="1"/>
    <x v="1"/>
    <n v="1"/>
    <n v="0"/>
    <n v="0"/>
    <n v="0"/>
    <n v="0"/>
    <n v="0"/>
    <n v="0"/>
    <m/>
    <n v="75.2"/>
    <s v="Unique"/>
    <s v="Valid"/>
    <s v="Valid"/>
    <s v="Valid"/>
    <s v="Valid"/>
    <s v="Valid"/>
    <s v="Outlier"/>
  </r>
  <r>
    <s v="USR-100214"/>
    <d v="2025-02-18T00:00:00"/>
    <x v="0"/>
    <x v="2"/>
    <x v="0"/>
    <x v="2"/>
    <x v="1"/>
    <n v="1"/>
    <n v="1"/>
    <n v="0"/>
    <n v="0"/>
    <n v="0"/>
    <n v="0"/>
    <n v="0"/>
    <m/>
    <n v="60.9"/>
    <s v="Unique"/>
    <s v="Valid"/>
    <s v="Valid"/>
    <s v="Valid"/>
    <s v="Valid"/>
    <s v="Valid"/>
    <s v="Outlier"/>
  </r>
  <r>
    <s v="USR-100215"/>
    <d v="2025-05-28T00:00:00"/>
    <x v="0"/>
    <x v="3"/>
    <x v="1"/>
    <x v="0"/>
    <x v="0"/>
    <n v="1"/>
    <n v="1"/>
    <n v="1"/>
    <n v="0"/>
    <n v="0"/>
    <n v="0"/>
    <n v="0"/>
    <m/>
    <n v="62.1"/>
    <s v="Unique"/>
    <s v="Valid"/>
    <s v="Valid"/>
    <s v="Valid"/>
    <s v="Valid"/>
    <s v="Valid"/>
    <s v="Outlier"/>
  </r>
  <r>
    <s v="USR-100216"/>
    <d v="2025-04-18T00:00:00"/>
    <x v="0"/>
    <x v="3"/>
    <x v="1"/>
    <x v="4"/>
    <x v="0"/>
    <n v="0"/>
    <n v="0"/>
    <n v="0"/>
    <n v="0"/>
    <n v="0"/>
    <n v="0"/>
    <n v="0"/>
    <m/>
    <n v="45.4"/>
    <s v="Unique"/>
    <s v="Valid"/>
    <s v="Valid"/>
    <s v="Valid"/>
    <s v="Valid"/>
    <s v="Valid"/>
    <s v="Outlier"/>
  </r>
  <r>
    <s v="USR-100217"/>
    <d v="2025-03-27T00:00:00"/>
    <x v="0"/>
    <x v="0"/>
    <x v="1"/>
    <x v="2"/>
    <x v="0"/>
    <n v="1"/>
    <n v="0"/>
    <n v="0"/>
    <n v="0"/>
    <n v="0"/>
    <n v="0"/>
    <n v="0"/>
    <m/>
    <n v="53.3"/>
    <s v="Unique"/>
    <s v="Valid"/>
    <s v="Valid"/>
    <s v="Valid"/>
    <s v="Valid"/>
    <s v="Valid"/>
    <s v="Outlier"/>
  </r>
  <r>
    <s v="USR-100218"/>
    <d v="2025-02-25T00:00:00"/>
    <x v="0"/>
    <x v="0"/>
    <x v="2"/>
    <x v="4"/>
    <x v="1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219"/>
    <d v="2025-02-19T00:00:00"/>
    <x v="0"/>
    <x v="2"/>
    <x v="1"/>
    <x v="2"/>
    <x v="1"/>
    <n v="0"/>
    <n v="0"/>
    <n v="0"/>
    <n v="0"/>
    <n v="0"/>
    <n v="1"/>
    <n v="0"/>
    <m/>
    <n v="38.200000000000003"/>
    <s v="Unique"/>
    <s v="Valid"/>
    <s v="Valid"/>
    <s v="Valid"/>
    <s v="Valid"/>
    <s v="Valid"/>
    <s v="Outlier"/>
  </r>
  <r>
    <s v="USR-100220"/>
    <d v="2025-04-11T00:00:00"/>
    <x v="0"/>
    <x v="1"/>
    <x v="1"/>
    <x v="2"/>
    <x v="1"/>
    <n v="1"/>
    <n v="1"/>
    <n v="0"/>
    <n v="0"/>
    <n v="0"/>
    <n v="3"/>
    <n v="0"/>
    <m/>
    <n v="59"/>
    <s v="Unique"/>
    <s v="Valid"/>
    <s v="Valid"/>
    <s v="Valid"/>
    <s v="Valid"/>
    <s v="Valid"/>
    <s v="Outlier"/>
  </r>
  <r>
    <s v="USR-100221"/>
    <d v="2025-01-22T00:00:00"/>
    <x v="0"/>
    <x v="2"/>
    <x v="2"/>
    <x v="3"/>
    <x v="2"/>
    <n v="1"/>
    <n v="1"/>
    <n v="1"/>
    <n v="0"/>
    <n v="0"/>
    <n v="0"/>
    <n v="0"/>
    <m/>
    <n v="80.599999999999994"/>
    <s v="Unique"/>
    <s v="Valid"/>
    <s v="Valid"/>
    <s v="Valid"/>
    <s v="Valid"/>
    <s v="Valid"/>
    <s v="Outlier"/>
  </r>
  <r>
    <s v="USR-100222"/>
    <d v="2025-01-12T00:00:00"/>
    <x v="0"/>
    <x v="3"/>
    <x v="1"/>
    <x v="4"/>
    <x v="1"/>
    <n v="1"/>
    <n v="0"/>
    <n v="0"/>
    <n v="0"/>
    <n v="0"/>
    <n v="0"/>
    <n v="0"/>
    <m/>
    <n v="67"/>
    <s v="Unique"/>
    <s v="Valid"/>
    <s v="Valid"/>
    <s v="Valid"/>
    <s v="Valid"/>
    <s v="Valid"/>
    <s v="Outlier"/>
  </r>
  <r>
    <s v="USR-100223"/>
    <d v="2025-02-17T00:00:00"/>
    <x v="0"/>
    <x v="1"/>
    <x v="1"/>
    <x v="0"/>
    <x v="1"/>
    <n v="1"/>
    <n v="0"/>
    <n v="0"/>
    <n v="0"/>
    <n v="0"/>
    <n v="1"/>
    <n v="0"/>
    <m/>
    <n v="72.099999999999994"/>
    <s v="Unique"/>
    <s v="Valid"/>
    <s v="Valid"/>
    <s v="Valid"/>
    <s v="Valid"/>
    <s v="Valid"/>
    <s v="Outlier"/>
  </r>
  <r>
    <s v="USR-100224"/>
    <d v="2025-04-11T00:00:00"/>
    <x v="0"/>
    <x v="1"/>
    <x v="0"/>
    <x v="1"/>
    <x v="1"/>
    <n v="0"/>
    <n v="0"/>
    <n v="0"/>
    <n v="0"/>
    <n v="0"/>
    <n v="0"/>
    <n v="0"/>
    <m/>
    <n v="74.099999999999994"/>
    <s v="Unique"/>
    <s v="Valid"/>
    <s v="Valid"/>
    <s v="Valid"/>
    <s v="Valid"/>
    <s v="Valid"/>
    <s v="Outlier"/>
  </r>
  <r>
    <s v="USR-100225"/>
    <d v="2025-05-25T00:00:00"/>
    <x v="0"/>
    <x v="3"/>
    <x v="1"/>
    <x v="3"/>
    <x v="2"/>
    <n v="0"/>
    <n v="0"/>
    <n v="0"/>
    <n v="0"/>
    <n v="0"/>
    <n v="0"/>
    <n v="0"/>
    <m/>
    <n v="84.8"/>
    <s v="Unique"/>
    <s v="Valid"/>
    <s v="Valid"/>
    <s v="Valid"/>
    <s v="Valid"/>
    <s v="Valid"/>
    <s v="Outlier"/>
  </r>
  <r>
    <s v="USR-100226"/>
    <d v="2025-03-12T00:00:00"/>
    <x v="0"/>
    <x v="3"/>
    <x v="1"/>
    <x v="1"/>
    <x v="0"/>
    <n v="1"/>
    <n v="0"/>
    <n v="0"/>
    <n v="0"/>
    <n v="0"/>
    <n v="0"/>
    <n v="0"/>
    <m/>
    <n v="33"/>
    <s v="Unique"/>
    <s v="Valid"/>
    <s v="Valid"/>
    <s v="Valid"/>
    <s v="Valid"/>
    <s v="Valid"/>
    <s v="Outlier"/>
  </r>
  <r>
    <s v="USR-100227"/>
    <d v="2025-04-20T00:00:00"/>
    <x v="0"/>
    <x v="0"/>
    <x v="2"/>
    <x v="0"/>
    <x v="1"/>
    <n v="0"/>
    <n v="0"/>
    <n v="0"/>
    <n v="0"/>
    <n v="0"/>
    <n v="0"/>
    <n v="0"/>
    <m/>
    <n v="52.5"/>
    <s v="Unique"/>
    <s v="Valid"/>
    <s v="Valid"/>
    <s v="Valid"/>
    <s v="Valid"/>
    <s v="Valid"/>
    <s v="Outlier"/>
  </r>
  <r>
    <s v="USR-100228"/>
    <d v="2025-02-23T00:00:00"/>
    <x v="0"/>
    <x v="0"/>
    <x v="2"/>
    <x v="1"/>
    <x v="1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229"/>
    <d v="2025-01-24T00:00:00"/>
    <x v="0"/>
    <x v="0"/>
    <x v="1"/>
    <x v="1"/>
    <x v="0"/>
    <n v="1"/>
    <n v="1"/>
    <n v="1"/>
    <n v="0"/>
    <n v="0"/>
    <n v="1"/>
    <n v="0"/>
    <m/>
    <n v="32.700000000000003"/>
    <s v="Unique"/>
    <s v="Valid"/>
    <s v="Valid"/>
    <s v="Valid"/>
    <s v="Valid"/>
    <s v="Valid"/>
    <s v="Outlier"/>
  </r>
  <r>
    <s v="USR-100230"/>
    <d v="2025-01-16T00:00:00"/>
    <x v="0"/>
    <x v="1"/>
    <x v="1"/>
    <x v="1"/>
    <x v="2"/>
    <n v="1"/>
    <n v="1"/>
    <n v="1"/>
    <n v="0"/>
    <n v="0"/>
    <n v="1"/>
    <n v="0"/>
    <m/>
    <n v="70.599999999999994"/>
    <s v="Unique"/>
    <s v="Valid"/>
    <s v="Valid"/>
    <s v="Valid"/>
    <s v="Valid"/>
    <s v="Valid"/>
    <s v="Outlier"/>
  </r>
  <r>
    <s v="USR-100231"/>
    <d v="2025-02-17T00:00:00"/>
    <x v="0"/>
    <x v="0"/>
    <x v="1"/>
    <x v="4"/>
    <x v="1"/>
    <n v="0"/>
    <n v="0"/>
    <n v="0"/>
    <n v="0"/>
    <n v="0"/>
    <n v="0"/>
    <n v="0"/>
    <m/>
    <n v="69.400000000000006"/>
    <s v="Unique"/>
    <s v="Valid"/>
    <s v="Valid"/>
    <s v="Valid"/>
    <s v="Valid"/>
    <s v="Valid"/>
    <s v="Outlier"/>
  </r>
  <r>
    <s v="USR-100232"/>
    <d v="2025-05-04T00:00:00"/>
    <x v="0"/>
    <x v="0"/>
    <x v="0"/>
    <x v="1"/>
    <x v="0"/>
    <n v="1"/>
    <n v="0"/>
    <n v="0"/>
    <n v="0"/>
    <n v="0"/>
    <n v="0"/>
    <n v="0"/>
    <m/>
    <n v="56.1"/>
    <s v="Unique"/>
    <s v="Valid"/>
    <s v="Valid"/>
    <s v="Valid"/>
    <s v="Valid"/>
    <s v="Valid"/>
    <s v="Outlier"/>
  </r>
  <r>
    <s v="USR-100233"/>
    <d v="2025-01-12T00:00:00"/>
    <x v="0"/>
    <x v="1"/>
    <x v="1"/>
    <x v="1"/>
    <x v="0"/>
    <n v="0"/>
    <n v="0"/>
    <n v="0"/>
    <n v="0"/>
    <n v="0"/>
    <n v="0"/>
    <n v="0"/>
    <m/>
    <n v="55.8"/>
    <s v="Unique"/>
    <s v="Valid"/>
    <s v="Valid"/>
    <s v="Valid"/>
    <s v="Valid"/>
    <s v="Valid"/>
    <s v="Outlier"/>
  </r>
  <r>
    <s v="USR-100234"/>
    <d v="2025-04-28T00:00:00"/>
    <x v="0"/>
    <x v="0"/>
    <x v="2"/>
    <x v="1"/>
    <x v="1"/>
    <n v="0"/>
    <n v="0"/>
    <n v="0"/>
    <n v="0"/>
    <n v="0"/>
    <n v="0"/>
    <n v="0"/>
    <m/>
    <n v="49.3"/>
    <s v="Unique"/>
    <s v="Valid"/>
    <s v="Valid"/>
    <s v="Valid"/>
    <s v="Valid"/>
    <s v="Valid"/>
    <s v="Outlier"/>
  </r>
  <r>
    <s v="USR-100235"/>
    <d v="2025-02-26T00:00:00"/>
    <x v="0"/>
    <x v="0"/>
    <x v="1"/>
    <x v="1"/>
    <x v="1"/>
    <n v="0"/>
    <n v="0"/>
    <n v="0"/>
    <n v="0"/>
    <n v="0"/>
    <n v="0"/>
    <n v="0"/>
    <m/>
    <n v="71.8"/>
    <s v="Unique"/>
    <s v="Valid"/>
    <s v="Valid"/>
    <s v="Valid"/>
    <s v="Valid"/>
    <s v="Valid"/>
    <s v="Outlier"/>
  </r>
  <r>
    <s v="USR-100236"/>
    <d v="2025-03-18T00:00:00"/>
    <x v="0"/>
    <x v="1"/>
    <x v="1"/>
    <x v="4"/>
    <x v="1"/>
    <n v="1"/>
    <n v="0"/>
    <n v="0"/>
    <n v="0"/>
    <n v="0"/>
    <n v="3"/>
    <n v="0"/>
    <m/>
    <n v="39.700000000000003"/>
    <s v="Unique"/>
    <s v="Valid"/>
    <s v="Valid"/>
    <s v="Valid"/>
    <s v="Valid"/>
    <s v="Valid"/>
    <s v="Outlier"/>
  </r>
  <r>
    <s v="USR-100237"/>
    <d v="2025-03-01T00:00:00"/>
    <x v="0"/>
    <x v="3"/>
    <x v="0"/>
    <x v="1"/>
    <x v="2"/>
    <n v="1"/>
    <n v="0"/>
    <n v="0"/>
    <n v="0"/>
    <n v="0"/>
    <n v="0"/>
    <n v="0"/>
    <m/>
    <n v="45.4"/>
    <s v="Unique"/>
    <s v="Valid"/>
    <s v="Valid"/>
    <s v="Valid"/>
    <s v="Valid"/>
    <s v="Valid"/>
    <s v="Outlier"/>
  </r>
  <r>
    <s v="USR-100238"/>
    <d v="2025-04-05T00:00:00"/>
    <x v="0"/>
    <x v="0"/>
    <x v="0"/>
    <x v="4"/>
    <x v="2"/>
    <n v="1"/>
    <n v="0"/>
    <n v="0"/>
    <n v="0"/>
    <n v="0"/>
    <n v="0"/>
    <n v="0"/>
    <m/>
    <n v="69.900000000000006"/>
    <s v="Unique"/>
    <s v="Valid"/>
    <s v="Valid"/>
    <s v="Valid"/>
    <s v="Valid"/>
    <s v="Valid"/>
    <s v="Outlier"/>
  </r>
  <r>
    <s v="USR-100239"/>
    <d v="2025-03-12T00:00:00"/>
    <x v="0"/>
    <x v="0"/>
    <x v="0"/>
    <x v="4"/>
    <x v="1"/>
    <n v="1"/>
    <n v="1"/>
    <n v="1"/>
    <n v="0"/>
    <n v="0"/>
    <n v="0"/>
    <n v="0"/>
    <m/>
    <n v="56.1"/>
    <s v="Unique"/>
    <s v="Valid"/>
    <s v="Valid"/>
    <s v="Valid"/>
    <s v="Valid"/>
    <s v="Valid"/>
    <s v="Outlier"/>
  </r>
  <r>
    <s v="USR-100240"/>
    <d v="2025-03-15T00:00:00"/>
    <x v="0"/>
    <x v="1"/>
    <x v="1"/>
    <x v="3"/>
    <x v="0"/>
    <n v="1"/>
    <n v="1"/>
    <n v="0"/>
    <n v="0"/>
    <n v="0"/>
    <n v="0"/>
    <n v="0"/>
    <m/>
    <n v="45.9"/>
    <s v="Unique"/>
    <s v="Valid"/>
    <s v="Valid"/>
    <s v="Valid"/>
    <s v="Valid"/>
    <s v="Valid"/>
    <s v="Outlier"/>
  </r>
  <r>
    <s v="USR-100241"/>
    <d v="2025-02-23T00:00:00"/>
    <x v="0"/>
    <x v="1"/>
    <x v="1"/>
    <x v="0"/>
    <x v="1"/>
    <n v="0"/>
    <n v="0"/>
    <n v="0"/>
    <n v="0"/>
    <n v="0"/>
    <n v="0"/>
    <n v="0"/>
    <m/>
    <n v="65.8"/>
    <s v="Unique"/>
    <s v="Valid"/>
    <s v="Valid"/>
    <s v="Valid"/>
    <s v="Valid"/>
    <s v="Valid"/>
    <s v="Outlier"/>
  </r>
  <r>
    <s v="USR-100242"/>
    <d v="2025-04-22T00:00:00"/>
    <x v="0"/>
    <x v="0"/>
    <x v="1"/>
    <x v="1"/>
    <x v="0"/>
    <n v="1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0243"/>
    <d v="2025-01-09T00:00:00"/>
    <x v="0"/>
    <x v="2"/>
    <x v="1"/>
    <x v="1"/>
    <x v="0"/>
    <n v="1"/>
    <n v="1"/>
    <n v="1"/>
    <n v="0"/>
    <n v="0"/>
    <n v="0"/>
    <n v="0"/>
    <m/>
    <n v="81.099999999999994"/>
    <s v="Unique"/>
    <s v="Valid"/>
    <s v="Valid"/>
    <s v="Valid"/>
    <s v="Valid"/>
    <s v="Valid"/>
    <s v="Outlier"/>
  </r>
  <r>
    <s v="USR-100244"/>
    <d v="2025-03-05T00:00:00"/>
    <x v="0"/>
    <x v="2"/>
    <x v="2"/>
    <x v="4"/>
    <x v="2"/>
    <n v="1"/>
    <n v="1"/>
    <n v="0"/>
    <n v="0"/>
    <n v="0"/>
    <n v="0"/>
    <n v="0"/>
    <m/>
    <n v="53.2"/>
    <s v="Unique"/>
    <s v="Valid"/>
    <s v="Valid"/>
    <s v="Valid"/>
    <s v="Valid"/>
    <s v="Valid"/>
    <s v="Outlier"/>
  </r>
  <r>
    <s v="USR-100245"/>
    <d v="2025-01-28T00:00:00"/>
    <x v="0"/>
    <x v="0"/>
    <x v="1"/>
    <x v="4"/>
    <x v="1"/>
    <n v="1"/>
    <n v="1"/>
    <n v="1"/>
    <n v="0"/>
    <n v="0"/>
    <n v="0"/>
    <n v="0"/>
    <m/>
    <n v="57.7"/>
    <s v="Unique"/>
    <s v="Valid"/>
    <s v="Valid"/>
    <s v="Valid"/>
    <s v="Valid"/>
    <s v="Valid"/>
    <s v="Outlier"/>
  </r>
  <r>
    <s v="USR-100246"/>
    <d v="2025-01-21T00:00:00"/>
    <x v="0"/>
    <x v="1"/>
    <x v="1"/>
    <x v="2"/>
    <x v="2"/>
    <n v="1"/>
    <n v="1"/>
    <n v="0"/>
    <n v="0"/>
    <n v="0"/>
    <n v="0"/>
    <n v="0"/>
    <m/>
    <n v="78.900000000000006"/>
    <s v="Unique"/>
    <s v="Valid"/>
    <s v="Valid"/>
    <s v="Valid"/>
    <s v="Valid"/>
    <s v="Valid"/>
    <s v="Outlier"/>
  </r>
  <r>
    <s v="USR-100247"/>
    <d v="2025-03-14T00:00:00"/>
    <x v="0"/>
    <x v="3"/>
    <x v="1"/>
    <x v="3"/>
    <x v="0"/>
    <n v="0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248"/>
    <d v="2025-02-03T00:00:00"/>
    <x v="0"/>
    <x v="1"/>
    <x v="1"/>
    <x v="2"/>
    <x v="1"/>
    <n v="0"/>
    <n v="0"/>
    <n v="0"/>
    <n v="0"/>
    <n v="0"/>
    <n v="0"/>
    <n v="0"/>
    <m/>
    <n v="52.3"/>
    <s v="Unique"/>
    <s v="Valid"/>
    <s v="Valid"/>
    <s v="Valid"/>
    <s v="Valid"/>
    <s v="Valid"/>
    <s v="Outlier"/>
  </r>
  <r>
    <s v="USR-100249"/>
    <d v="2025-05-22T00:00:00"/>
    <x v="0"/>
    <x v="0"/>
    <x v="1"/>
    <x v="4"/>
    <x v="1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250"/>
    <d v="2025-04-25T00:00:00"/>
    <x v="0"/>
    <x v="0"/>
    <x v="0"/>
    <x v="0"/>
    <x v="1"/>
    <n v="1"/>
    <n v="0"/>
    <n v="0"/>
    <n v="0"/>
    <n v="0"/>
    <n v="0"/>
    <n v="0"/>
    <m/>
    <n v="70.8"/>
    <s v="Unique"/>
    <s v="Valid"/>
    <s v="Valid"/>
    <s v="Valid"/>
    <s v="Valid"/>
    <s v="Valid"/>
    <s v="Outlier"/>
  </r>
  <r>
    <s v="USR-100251"/>
    <d v="2025-01-30T00:00:00"/>
    <x v="0"/>
    <x v="0"/>
    <x v="0"/>
    <x v="0"/>
    <x v="0"/>
    <n v="1"/>
    <n v="1"/>
    <n v="1"/>
    <n v="1"/>
    <n v="1250.78"/>
    <n v="0"/>
    <n v="0"/>
    <n v="10"/>
    <n v="39"/>
    <s v="Unique"/>
    <s v="Valid"/>
    <s v="Valid"/>
    <s v="Valid"/>
    <s v="Valid"/>
    <s v="Valid"/>
    <s v="Outlier"/>
  </r>
  <r>
    <s v="USR-100252"/>
    <d v="2025-05-23T00:00:00"/>
    <x v="0"/>
    <x v="1"/>
    <x v="1"/>
    <x v="1"/>
    <x v="1"/>
    <n v="1"/>
    <n v="0"/>
    <n v="0"/>
    <n v="0"/>
    <n v="0"/>
    <n v="0"/>
    <n v="0"/>
    <m/>
    <n v="61.6"/>
    <s v="Unique"/>
    <s v="Valid"/>
    <s v="Valid"/>
    <s v="Valid"/>
    <s v="Valid"/>
    <s v="Valid"/>
    <s v="Outlier"/>
  </r>
  <r>
    <s v="USR-100253"/>
    <d v="2025-02-14T00:00:00"/>
    <x v="0"/>
    <x v="2"/>
    <x v="0"/>
    <x v="1"/>
    <x v="1"/>
    <n v="1"/>
    <n v="1"/>
    <n v="1"/>
    <n v="0"/>
    <n v="0"/>
    <n v="0"/>
    <n v="0"/>
    <m/>
    <n v="46.8"/>
    <s v="Unique"/>
    <s v="Valid"/>
    <s v="Valid"/>
    <s v="Valid"/>
    <s v="Valid"/>
    <s v="Valid"/>
    <s v="Outlier"/>
  </r>
  <r>
    <s v="USR-100254"/>
    <d v="2025-03-05T00:00:00"/>
    <x v="0"/>
    <x v="0"/>
    <x v="1"/>
    <x v="2"/>
    <x v="2"/>
    <n v="0"/>
    <n v="0"/>
    <n v="0"/>
    <n v="0"/>
    <n v="0"/>
    <n v="1"/>
    <n v="0"/>
    <m/>
    <n v="58.5"/>
    <s v="Unique"/>
    <s v="Valid"/>
    <s v="Valid"/>
    <s v="Valid"/>
    <s v="Valid"/>
    <s v="Valid"/>
    <s v="Outlier"/>
  </r>
  <r>
    <s v="USR-100255"/>
    <d v="2025-05-27T00:00:00"/>
    <x v="0"/>
    <x v="0"/>
    <x v="1"/>
    <x v="2"/>
    <x v="0"/>
    <n v="0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0256"/>
    <d v="2025-01-07T00:00:00"/>
    <x v="0"/>
    <x v="3"/>
    <x v="1"/>
    <x v="2"/>
    <x v="1"/>
    <n v="1"/>
    <n v="0"/>
    <n v="0"/>
    <n v="0"/>
    <n v="0"/>
    <n v="0"/>
    <n v="0"/>
    <m/>
    <n v="48.4"/>
    <s v="Unique"/>
    <s v="Valid"/>
    <s v="Valid"/>
    <s v="Valid"/>
    <s v="Valid"/>
    <s v="Valid"/>
    <s v="Outlier"/>
  </r>
  <r>
    <s v="USR-100257"/>
    <d v="2025-04-21T00:00:00"/>
    <x v="0"/>
    <x v="0"/>
    <x v="1"/>
    <x v="0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258"/>
    <d v="2025-05-13T00:00:00"/>
    <x v="0"/>
    <x v="0"/>
    <x v="1"/>
    <x v="2"/>
    <x v="1"/>
    <n v="0"/>
    <n v="0"/>
    <n v="0"/>
    <n v="0"/>
    <n v="0"/>
    <n v="0"/>
    <n v="0"/>
    <m/>
    <n v="61.6"/>
    <s v="Unique"/>
    <s v="Valid"/>
    <s v="Valid"/>
    <s v="Valid"/>
    <s v="Valid"/>
    <s v="Valid"/>
    <s v="Outlier"/>
  </r>
  <r>
    <s v="USR-100259"/>
    <d v="2025-01-28T00:00:00"/>
    <x v="0"/>
    <x v="2"/>
    <x v="0"/>
    <x v="1"/>
    <x v="1"/>
    <n v="1"/>
    <n v="0"/>
    <n v="0"/>
    <n v="0"/>
    <n v="0"/>
    <n v="0"/>
    <n v="0"/>
    <m/>
    <n v="43.2"/>
    <s v="Unique"/>
    <s v="Valid"/>
    <s v="Valid"/>
    <s v="Valid"/>
    <s v="Valid"/>
    <s v="Valid"/>
    <s v="Outlier"/>
  </r>
  <r>
    <s v="USR-100260"/>
    <d v="2025-03-16T00:00:00"/>
    <x v="0"/>
    <x v="2"/>
    <x v="0"/>
    <x v="2"/>
    <x v="0"/>
    <n v="1"/>
    <n v="0"/>
    <n v="0"/>
    <n v="0"/>
    <n v="0"/>
    <n v="1"/>
    <n v="0"/>
    <m/>
    <n v="53.3"/>
    <s v="Unique"/>
    <s v="Valid"/>
    <s v="Valid"/>
    <s v="Valid"/>
    <s v="Valid"/>
    <s v="Valid"/>
    <s v="Outlier"/>
  </r>
  <r>
    <s v="USR-100261"/>
    <d v="2025-04-10T00:00:00"/>
    <x v="0"/>
    <x v="2"/>
    <x v="0"/>
    <x v="4"/>
    <x v="0"/>
    <n v="0"/>
    <n v="0"/>
    <n v="0"/>
    <n v="0"/>
    <n v="0"/>
    <n v="0"/>
    <n v="0"/>
    <m/>
    <n v="33.9"/>
    <s v="Unique"/>
    <s v="Valid"/>
    <s v="Valid"/>
    <s v="Valid"/>
    <s v="Valid"/>
    <s v="Valid"/>
    <s v="Outlier"/>
  </r>
  <r>
    <s v="USR-100262"/>
    <d v="2025-03-15T00:00:00"/>
    <x v="0"/>
    <x v="2"/>
    <x v="0"/>
    <x v="3"/>
    <x v="1"/>
    <n v="1"/>
    <n v="1"/>
    <n v="1"/>
    <n v="0"/>
    <n v="0"/>
    <n v="0"/>
    <n v="0"/>
    <m/>
    <n v="35.4"/>
    <s v="Unique"/>
    <s v="Valid"/>
    <s v="Valid"/>
    <s v="Valid"/>
    <s v="Valid"/>
    <s v="Valid"/>
    <s v="Outlier"/>
  </r>
  <r>
    <s v="USR-100263"/>
    <d v="2025-04-07T00:00:00"/>
    <x v="0"/>
    <x v="1"/>
    <x v="0"/>
    <x v="1"/>
    <x v="0"/>
    <n v="1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0264"/>
    <d v="2025-02-12T00:00:00"/>
    <x v="0"/>
    <x v="3"/>
    <x v="1"/>
    <x v="1"/>
    <x v="1"/>
    <n v="1"/>
    <n v="1"/>
    <n v="0"/>
    <n v="0"/>
    <n v="0"/>
    <n v="0"/>
    <n v="0"/>
    <m/>
    <n v="86.5"/>
    <s v="Unique"/>
    <s v="Valid"/>
    <s v="Valid"/>
    <s v="Valid"/>
    <s v="Valid"/>
    <s v="Valid"/>
    <s v="Outlier"/>
  </r>
  <r>
    <s v="USR-100265"/>
    <d v="2025-05-05T00:00:00"/>
    <x v="0"/>
    <x v="1"/>
    <x v="1"/>
    <x v="4"/>
    <x v="1"/>
    <n v="0"/>
    <n v="0"/>
    <n v="0"/>
    <n v="0"/>
    <n v="0"/>
    <n v="0"/>
    <n v="0"/>
    <m/>
    <n v="58.1"/>
    <s v="Unique"/>
    <s v="Valid"/>
    <s v="Valid"/>
    <s v="Valid"/>
    <s v="Valid"/>
    <s v="Valid"/>
    <s v="Outlier"/>
  </r>
  <r>
    <s v="USR-100266"/>
    <d v="2025-03-11T00:00:00"/>
    <x v="0"/>
    <x v="1"/>
    <x v="1"/>
    <x v="3"/>
    <x v="1"/>
    <n v="1"/>
    <n v="0"/>
    <n v="0"/>
    <n v="0"/>
    <n v="0"/>
    <n v="0"/>
    <n v="0"/>
    <m/>
    <n v="36.1"/>
    <s v="Unique"/>
    <s v="Valid"/>
    <s v="Valid"/>
    <s v="Valid"/>
    <s v="Valid"/>
    <s v="Valid"/>
    <s v="Outlier"/>
  </r>
  <r>
    <s v="USR-100267"/>
    <d v="2025-02-10T00:00:00"/>
    <x v="0"/>
    <x v="2"/>
    <x v="1"/>
    <x v="4"/>
    <x v="1"/>
    <n v="0"/>
    <n v="0"/>
    <n v="0"/>
    <n v="0"/>
    <n v="0"/>
    <n v="0"/>
    <n v="0"/>
    <m/>
    <n v="62.8"/>
    <s v="Unique"/>
    <s v="Valid"/>
    <s v="Valid"/>
    <s v="Valid"/>
    <s v="Valid"/>
    <s v="Valid"/>
    <s v="Outlier"/>
  </r>
  <r>
    <s v="USR-100268"/>
    <d v="2025-04-06T00:00:00"/>
    <x v="0"/>
    <x v="3"/>
    <x v="1"/>
    <x v="1"/>
    <x v="1"/>
    <n v="0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0269"/>
    <d v="2025-01-06T00:00:00"/>
    <x v="0"/>
    <x v="2"/>
    <x v="1"/>
    <x v="3"/>
    <x v="1"/>
    <n v="0"/>
    <n v="0"/>
    <n v="0"/>
    <n v="0"/>
    <n v="0"/>
    <n v="0"/>
    <n v="0"/>
    <m/>
    <n v="50"/>
    <s v="Unique"/>
    <s v="Valid"/>
    <s v="Valid"/>
    <s v="Valid"/>
    <s v="Valid"/>
    <s v="Valid"/>
    <s v="Outlier"/>
  </r>
  <r>
    <s v="USR-100270"/>
    <d v="2025-03-25T00:00:00"/>
    <x v="0"/>
    <x v="2"/>
    <x v="2"/>
    <x v="2"/>
    <x v="0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0271"/>
    <d v="2025-02-13T00:00:00"/>
    <x v="0"/>
    <x v="2"/>
    <x v="0"/>
    <x v="3"/>
    <x v="1"/>
    <n v="1"/>
    <n v="0"/>
    <n v="0"/>
    <n v="0"/>
    <n v="0"/>
    <n v="0"/>
    <n v="0"/>
    <m/>
    <n v="29.3"/>
    <s v="Unique"/>
    <s v="Valid"/>
    <s v="Valid"/>
    <s v="Valid"/>
    <s v="Valid"/>
    <s v="Valid"/>
    <s v="Outlier"/>
  </r>
  <r>
    <s v="USR-100272"/>
    <d v="2025-03-17T00:00:00"/>
    <x v="0"/>
    <x v="1"/>
    <x v="0"/>
    <x v="1"/>
    <x v="1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273"/>
    <d v="2025-05-10T00:00:00"/>
    <x v="0"/>
    <x v="0"/>
    <x v="1"/>
    <x v="3"/>
    <x v="1"/>
    <n v="1"/>
    <n v="1"/>
    <n v="1"/>
    <n v="0"/>
    <n v="0"/>
    <n v="0"/>
    <n v="0"/>
    <m/>
    <n v="67.599999999999994"/>
    <s v="Unique"/>
    <s v="Valid"/>
    <s v="Valid"/>
    <s v="Valid"/>
    <s v="Valid"/>
    <s v="Valid"/>
    <s v="Outlier"/>
  </r>
  <r>
    <s v="USR-100274"/>
    <d v="2025-05-07T00:00:00"/>
    <x v="0"/>
    <x v="3"/>
    <x v="1"/>
    <x v="2"/>
    <x v="0"/>
    <n v="0"/>
    <n v="0"/>
    <n v="0"/>
    <n v="0"/>
    <n v="0"/>
    <n v="0"/>
    <n v="0"/>
    <m/>
    <n v="67.400000000000006"/>
    <s v="Unique"/>
    <s v="Valid"/>
    <s v="Valid"/>
    <s v="Valid"/>
    <s v="Valid"/>
    <s v="Valid"/>
    <s v="Outlier"/>
  </r>
  <r>
    <s v="USR-100275"/>
    <d v="2025-02-26T00:00:00"/>
    <x v="0"/>
    <x v="1"/>
    <x v="0"/>
    <x v="2"/>
    <x v="2"/>
    <n v="0"/>
    <n v="0"/>
    <n v="0"/>
    <n v="0"/>
    <n v="0"/>
    <n v="2"/>
    <n v="0"/>
    <m/>
    <n v="53"/>
    <s v="Unique"/>
    <s v="Valid"/>
    <s v="Valid"/>
    <s v="Valid"/>
    <s v="Valid"/>
    <s v="Valid"/>
    <s v="Outlier"/>
  </r>
  <r>
    <s v="USR-100276"/>
    <d v="2025-05-11T00:00:00"/>
    <x v="0"/>
    <x v="0"/>
    <x v="1"/>
    <x v="1"/>
    <x v="0"/>
    <n v="0"/>
    <n v="0"/>
    <n v="0"/>
    <n v="0"/>
    <n v="0"/>
    <n v="0"/>
    <n v="0"/>
    <m/>
    <n v="65.5"/>
    <s v="Unique"/>
    <s v="Valid"/>
    <s v="Valid"/>
    <s v="Valid"/>
    <s v="Valid"/>
    <s v="Valid"/>
    <s v="Outlier"/>
  </r>
  <r>
    <s v="USR-100277"/>
    <d v="2025-03-20T00:00:00"/>
    <x v="0"/>
    <x v="3"/>
    <x v="1"/>
    <x v="1"/>
    <x v="0"/>
    <n v="1"/>
    <n v="1"/>
    <n v="0"/>
    <n v="0"/>
    <n v="0"/>
    <n v="0"/>
    <n v="0"/>
    <m/>
    <n v="49.6"/>
    <s v="Unique"/>
    <s v="Valid"/>
    <s v="Valid"/>
    <s v="Valid"/>
    <s v="Valid"/>
    <s v="Valid"/>
    <s v="Outlier"/>
  </r>
  <r>
    <s v="USR-100278"/>
    <d v="2025-01-19T00:00:00"/>
    <x v="0"/>
    <x v="0"/>
    <x v="1"/>
    <x v="0"/>
    <x v="1"/>
    <n v="1"/>
    <n v="1"/>
    <n v="0"/>
    <n v="0"/>
    <n v="0"/>
    <n v="0"/>
    <n v="0"/>
    <m/>
    <n v="74.5"/>
    <s v="Unique"/>
    <s v="Valid"/>
    <s v="Valid"/>
    <s v="Valid"/>
    <s v="Valid"/>
    <s v="Valid"/>
    <s v="Outlier"/>
  </r>
  <r>
    <s v="USR-100279"/>
    <d v="2025-03-08T00:00:00"/>
    <x v="0"/>
    <x v="0"/>
    <x v="2"/>
    <x v="2"/>
    <x v="2"/>
    <n v="1"/>
    <n v="0"/>
    <n v="0"/>
    <n v="0"/>
    <n v="0"/>
    <n v="1"/>
    <n v="0"/>
    <m/>
    <n v="46.9"/>
    <s v="Unique"/>
    <s v="Valid"/>
    <s v="Valid"/>
    <s v="Valid"/>
    <s v="Valid"/>
    <s v="Valid"/>
    <s v="Outlier"/>
  </r>
  <r>
    <s v="USR-100280"/>
    <d v="2025-04-25T00:00:00"/>
    <x v="0"/>
    <x v="0"/>
    <x v="1"/>
    <x v="1"/>
    <x v="1"/>
    <n v="0"/>
    <n v="0"/>
    <n v="0"/>
    <n v="0"/>
    <n v="0"/>
    <n v="0"/>
    <n v="0"/>
    <m/>
    <n v="87.1"/>
    <s v="Unique"/>
    <s v="Valid"/>
    <s v="Valid"/>
    <s v="Valid"/>
    <s v="Valid"/>
    <s v="Valid"/>
    <s v="Outlier"/>
  </r>
  <r>
    <s v="USR-100281"/>
    <d v="2025-04-04T00:00:00"/>
    <x v="0"/>
    <x v="0"/>
    <x v="0"/>
    <x v="1"/>
    <x v="1"/>
    <n v="1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282"/>
    <d v="2025-05-01T00:00:00"/>
    <x v="0"/>
    <x v="2"/>
    <x v="1"/>
    <x v="2"/>
    <x v="2"/>
    <n v="1"/>
    <n v="0"/>
    <n v="0"/>
    <n v="0"/>
    <n v="0"/>
    <n v="1"/>
    <n v="0"/>
    <m/>
    <n v="61.7"/>
    <s v="Unique"/>
    <s v="Valid"/>
    <s v="Valid"/>
    <s v="Valid"/>
    <s v="Valid"/>
    <s v="Valid"/>
    <s v="Outlier"/>
  </r>
  <r>
    <s v="USR-100283"/>
    <d v="2025-01-21T00:00:00"/>
    <x v="0"/>
    <x v="3"/>
    <x v="1"/>
    <x v="4"/>
    <x v="1"/>
    <n v="1"/>
    <n v="0"/>
    <n v="0"/>
    <n v="0"/>
    <n v="0"/>
    <n v="1"/>
    <n v="0"/>
    <m/>
    <n v="70.5"/>
    <s v="Unique"/>
    <s v="Valid"/>
    <s v="Valid"/>
    <s v="Valid"/>
    <s v="Valid"/>
    <s v="Valid"/>
    <s v="Outlier"/>
  </r>
  <r>
    <s v="USR-100284"/>
    <d v="2025-02-10T00:00:00"/>
    <x v="0"/>
    <x v="0"/>
    <x v="0"/>
    <x v="3"/>
    <x v="0"/>
    <n v="1"/>
    <n v="0"/>
    <n v="0"/>
    <n v="0"/>
    <n v="0"/>
    <n v="0"/>
    <n v="0"/>
    <m/>
    <n v="33.4"/>
    <s v="Unique"/>
    <s v="Valid"/>
    <s v="Valid"/>
    <s v="Valid"/>
    <s v="Valid"/>
    <s v="Valid"/>
    <s v="Outlier"/>
  </r>
  <r>
    <s v="USR-100285"/>
    <d v="2025-05-06T00:00:00"/>
    <x v="0"/>
    <x v="3"/>
    <x v="0"/>
    <x v="1"/>
    <x v="1"/>
    <n v="1"/>
    <n v="0"/>
    <n v="0"/>
    <n v="0"/>
    <n v="0"/>
    <n v="0"/>
    <n v="0"/>
    <m/>
    <n v="57.5"/>
    <s v="Unique"/>
    <s v="Valid"/>
    <s v="Valid"/>
    <s v="Valid"/>
    <s v="Valid"/>
    <s v="Valid"/>
    <s v="Outlier"/>
  </r>
  <r>
    <s v="USR-100286"/>
    <d v="2025-02-08T00:00:00"/>
    <x v="0"/>
    <x v="0"/>
    <x v="0"/>
    <x v="2"/>
    <x v="0"/>
    <n v="1"/>
    <n v="1"/>
    <n v="0"/>
    <n v="0"/>
    <n v="0"/>
    <n v="0"/>
    <n v="0"/>
    <m/>
    <n v="85.7"/>
    <s v="Unique"/>
    <s v="Valid"/>
    <s v="Valid"/>
    <s v="Valid"/>
    <s v="Valid"/>
    <s v="Valid"/>
    <s v="Outlier"/>
  </r>
  <r>
    <s v="USR-100287"/>
    <d v="2025-05-31T00:00:00"/>
    <x v="0"/>
    <x v="2"/>
    <x v="1"/>
    <x v="4"/>
    <x v="1"/>
    <n v="1"/>
    <n v="0"/>
    <n v="0"/>
    <n v="0"/>
    <n v="0"/>
    <n v="0"/>
    <n v="0"/>
    <m/>
    <n v="41.9"/>
    <s v="Unique"/>
    <s v="Valid"/>
    <s v="Valid"/>
    <s v="Valid"/>
    <s v="Valid"/>
    <s v="Valid"/>
    <s v="Outlier"/>
  </r>
  <r>
    <s v="USR-100288"/>
    <d v="2025-02-07T00:00:00"/>
    <x v="0"/>
    <x v="1"/>
    <x v="1"/>
    <x v="0"/>
    <x v="0"/>
    <n v="1"/>
    <n v="0"/>
    <n v="0"/>
    <n v="0"/>
    <n v="0"/>
    <n v="0"/>
    <n v="0"/>
    <m/>
    <n v="70.2"/>
    <s v="Unique"/>
    <s v="Valid"/>
    <s v="Valid"/>
    <s v="Valid"/>
    <s v="Valid"/>
    <s v="Valid"/>
    <s v="Outlier"/>
  </r>
  <r>
    <s v="USR-100289"/>
    <d v="2025-02-10T00:00:00"/>
    <x v="0"/>
    <x v="0"/>
    <x v="1"/>
    <x v="4"/>
    <x v="1"/>
    <n v="1"/>
    <n v="0"/>
    <n v="0"/>
    <n v="0"/>
    <n v="0"/>
    <n v="0"/>
    <n v="0"/>
    <m/>
    <n v="42.6"/>
    <s v="Unique"/>
    <s v="Valid"/>
    <s v="Valid"/>
    <s v="Valid"/>
    <s v="Valid"/>
    <s v="Valid"/>
    <s v="Outlier"/>
  </r>
  <r>
    <s v="USR-100290"/>
    <d v="2025-01-31T00:00:00"/>
    <x v="0"/>
    <x v="1"/>
    <x v="1"/>
    <x v="4"/>
    <x v="0"/>
    <n v="0"/>
    <n v="0"/>
    <n v="0"/>
    <n v="0"/>
    <n v="0"/>
    <n v="2"/>
    <n v="0"/>
    <m/>
    <n v="30.4"/>
    <s v="Unique"/>
    <s v="Valid"/>
    <s v="Valid"/>
    <s v="Valid"/>
    <s v="Valid"/>
    <s v="Valid"/>
    <s v="Outlier"/>
  </r>
  <r>
    <s v="USR-100291"/>
    <d v="2025-03-16T00:00:00"/>
    <x v="0"/>
    <x v="2"/>
    <x v="1"/>
    <x v="2"/>
    <x v="0"/>
    <n v="1"/>
    <n v="0"/>
    <n v="0"/>
    <n v="0"/>
    <n v="0"/>
    <n v="0"/>
    <n v="0"/>
    <m/>
    <n v="63.7"/>
    <s v="Unique"/>
    <s v="Valid"/>
    <s v="Valid"/>
    <s v="Valid"/>
    <s v="Valid"/>
    <s v="Valid"/>
    <s v="Outlier"/>
  </r>
  <r>
    <s v="USR-100292"/>
    <d v="2025-04-24T00:00:00"/>
    <x v="0"/>
    <x v="3"/>
    <x v="1"/>
    <x v="4"/>
    <x v="0"/>
    <n v="0"/>
    <n v="0"/>
    <n v="0"/>
    <n v="0"/>
    <n v="0"/>
    <n v="0"/>
    <n v="0"/>
    <m/>
    <n v="42.7"/>
    <s v="Unique"/>
    <s v="Valid"/>
    <s v="Valid"/>
    <s v="Valid"/>
    <s v="Valid"/>
    <s v="Valid"/>
    <s v="Outlier"/>
  </r>
  <r>
    <s v="USR-100293"/>
    <d v="2025-01-28T00:00:00"/>
    <x v="0"/>
    <x v="0"/>
    <x v="1"/>
    <x v="1"/>
    <x v="1"/>
    <n v="0"/>
    <n v="0"/>
    <n v="0"/>
    <n v="0"/>
    <n v="0"/>
    <n v="0"/>
    <n v="0"/>
    <m/>
    <n v="74.3"/>
    <s v="Unique"/>
    <s v="Valid"/>
    <s v="Valid"/>
    <s v="Valid"/>
    <s v="Valid"/>
    <s v="Valid"/>
    <s v="Outlier"/>
  </r>
  <r>
    <s v="USR-100294"/>
    <d v="2025-02-16T00:00:00"/>
    <x v="0"/>
    <x v="1"/>
    <x v="0"/>
    <x v="0"/>
    <x v="1"/>
    <n v="1"/>
    <n v="0"/>
    <n v="0"/>
    <n v="0"/>
    <n v="0"/>
    <n v="0"/>
    <n v="0"/>
    <m/>
    <n v="40.6"/>
    <s v="Unique"/>
    <s v="Valid"/>
    <s v="Valid"/>
    <s v="Valid"/>
    <s v="Valid"/>
    <s v="Valid"/>
    <s v="Outlier"/>
  </r>
  <r>
    <s v="USR-100295"/>
    <d v="2025-03-23T00:00:00"/>
    <x v="0"/>
    <x v="2"/>
    <x v="1"/>
    <x v="1"/>
    <x v="2"/>
    <n v="0"/>
    <n v="0"/>
    <n v="0"/>
    <n v="0"/>
    <n v="0"/>
    <n v="0"/>
    <n v="0"/>
    <m/>
    <n v="67"/>
    <s v="Unique"/>
    <s v="Valid"/>
    <s v="Valid"/>
    <s v="Valid"/>
    <s v="Valid"/>
    <s v="Valid"/>
    <s v="Outlier"/>
  </r>
  <r>
    <s v="USR-100296"/>
    <d v="2025-05-31T00:00:00"/>
    <x v="0"/>
    <x v="2"/>
    <x v="1"/>
    <x v="2"/>
    <x v="2"/>
    <n v="0"/>
    <n v="0"/>
    <n v="0"/>
    <n v="0"/>
    <n v="0"/>
    <n v="0"/>
    <n v="0"/>
    <m/>
    <n v="51"/>
    <s v="Unique"/>
    <s v="Valid"/>
    <s v="Valid"/>
    <s v="Valid"/>
    <s v="Valid"/>
    <s v="Valid"/>
    <s v="Outlier"/>
  </r>
  <r>
    <s v="USR-100297"/>
    <d v="2025-04-13T00:00:00"/>
    <x v="0"/>
    <x v="1"/>
    <x v="1"/>
    <x v="4"/>
    <x v="0"/>
    <n v="1"/>
    <n v="1"/>
    <n v="0"/>
    <n v="0"/>
    <n v="0"/>
    <n v="1"/>
    <n v="0"/>
    <m/>
    <n v="54.8"/>
    <s v="Unique"/>
    <s v="Valid"/>
    <s v="Valid"/>
    <s v="Valid"/>
    <s v="Valid"/>
    <s v="Valid"/>
    <s v="Outlier"/>
  </r>
  <r>
    <s v="USR-100298"/>
    <d v="2025-05-14T00:00:00"/>
    <x v="0"/>
    <x v="0"/>
    <x v="2"/>
    <x v="0"/>
    <x v="0"/>
    <n v="0"/>
    <n v="0"/>
    <n v="0"/>
    <n v="0"/>
    <n v="0"/>
    <n v="0"/>
    <n v="0"/>
    <m/>
    <n v="40.799999999999997"/>
    <s v="Unique"/>
    <s v="Valid"/>
    <s v="Valid"/>
    <s v="Valid"/>
    <s v="Valid"/>
    <s v="Valid"/>
    <s v="Outlier"/>
  </r>
  <r>
    <s v="USR-100299"/>
    <d v="2025-02-19T00:00:00"/>
    <x v="0"/>
    <x v="2"/>
    <x v="1"/>
    <x v="2"/>
    <x v="1"/>
    <n v="0"/>
    <n v="0"/>
    <n v="0"/>
    <n v="0"/>
    <n v="0"/>
    <n v="0"/>
    <n v="0"/>
    <m/>
    <n v="48.8"/>
    <s v="Unique"/>
    <s v="Valid"/>
    <s v="Valid"/>
    <s v="Valid"/>
    <s v="Valid"/>
    <s v="Valid"/>
    <s v="Outlier"/>
  </r>
  <r>
    <s v="USR-100300"/>
    <d v="2025-01-24T00:00:00"/>
    <x v="0"/>
    <x v="3"/>
    <x v="1"/>
    <x v="5"/>
    <x v="0"/>
    <n v="1"/>
    <n v="1"/>
    <n v="1"/>
    <n v="1"/>
    <n v="1198.69"/>
    <n v="1"/>
    <n v="0"/>
    <n v="6"/>
    <n v="88.9"/>
    <s v="Unique"/>
    <s v="Valid"/>
    <s v="Valid"/>
    <s v="Valid"/>
    <s v="Valid"/>
    <s v="Valid"/>
    <s v="Outlier"/>
  </r>
  <r>
    <s v="USR-100301"/>
    <d v="2025-05-09T00:00:00"/>
    <x v="0"/>
    <x v="0"/>
    <x v="1"/>
    <x v="0"/>
    <x v="0"/>
    <n v="1"/>
    <n v="1"/>
    <n v="1"/>
    <n v="0"/>
    <n v="0"/>
    <n v="1"/>
    <n v="0"/>
    <m/>
    <n v="60.5"/>
    <s v="Unique"/>
    <s v="Valid"/>
    <s v="Valid"/>
    <s v="Valid"/>
    <s v="Valid"/>
    <s v="Valid"/>
    <s v="Outlier"/>
  </r>
  <r>
    <s v="USR-100302"/>
    <d v="2025-02-11T00:00:00"/>
    <x v="0"/>
    <x v="0"/>
    <x v="1"/>
    <x v="1"/>
    <x v="0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303"/>
    <d v="2025-02-26T00:00:00"/>
    <x v="0"/>
    <x v="0"/>
    <x v="0"/>
    <x v="1"/>
    <x v="0"/>
    <n v="1"/>
    <n v="1"/>
    <n v="1"/>
    <n v="1"/>
    <n v="6788.95"/>
    <n v="0"/>
    <n v="0"/>
    <n v="17"/>
    <n v="58.4"/>
    <s v="Unique"/>
    <s v="Valid"/>
    <s v="Valid"/>
    <s v="Valid"/>
    <s v="Valid"/>
    <s v="Valid"/>
    <s v="Outlier"/>
  </r>
  <r>
    <s v="USR-100304"/>
    <d v="2025-02-12T00:00:00"/>
    <x v="0"/>
    <x v="3"/>
    <x v="1"/>
    <x v="4"/>
    <x v="2"/>
    <n v="0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305"/>
    <d v="2025-01-05T00:00:00"/>
    <x v="0"/>
    <x v="3"/>
    <x v="2"/>
    <x v="4"/>
    <x v="2"/>
    <n v="1"/>
    <n v="1"/>
    <n v="1"/>
    <n v="0"/>
    <n v="0"/>
    <n v="2"/>
    <n v="0"/>
    <m/>
    <n v="48.9"/>
    <s v="Unique"/>
    <s v="Valid"/>
    <s v="Valid"/>
    <s v="Valid"/>
    <s v="Valid"/>
    <s v="Valid"/>
    <s v="Outlier"/>
  </r>
  <r>
    <s v="USR-100306"/>
    <d v="2025-05-19T00:00:00"/>
    <x v="0"/>
    <x v="1"/>
    <x v="1"/>
    <x v="1"/>
    <x v="2"/>
    <n v="0"/>
    <n v="0"/>
    <n v="0"/>
    <n v="0"/>
    <n v="0"/>
    <n v="0"/>
    <n v="0"/>
    <m/>
    <n v="79.7"/>
    <s v="Unique"/>
    <s v="Valid"/>
    <s v="Valid"/>
    <s v="Valid"/>
    <s v="Valid"/>
    <s v="Valid"/>
    <s v="Outlier"/>
  </r>
  <r>
    <s v="USR-100307"/>
    <d v="2025-02-02T00:00:00"/>
    <x v="0"/>
    <x v="0"/>
    <x v="1"/>
    <x v="4"/>
    <x v="1"/>
    <n v="1"/>
    <n v="0"/>
    <n v="0"/>
    <n v="0"/>
    <n v="0"/>
    <n v="0"/>
    <n v="0"/>
    <m/>
    <n v="44.9"/>
    <s v="Unique"/>
    <s v="Valid"/>
    <s v="Valid"/>
    <s v="Valid"/>
    <s v="Valid"/>
    <s v="Valid"/>
    <s v="Outlier"/>
  </r>
  <r>
    <s v="USR-100308"/>
    <d v="2025-01-30T00:00:00"/>
    <x v="0"/>
    <x v="1"/>
    <x v="2"/>
    <x v="2"/>
    <x v="1"/>
    <n v="1"/>
    <n v="1"/>
    <n v="1"/>
    <n v="1"/>
    <n v="409.39"/>
    <n v="0"/>
    <n v="0"/>
    <n v="10"/>
    <n v="38.799999999999997"/>
    <s v="Unique"/>
    <s v="Valid"/>
    <s v="Valid"/>
    <s v="Valid"/>
    <s v="Valid"/>
    <s v="Valid"/>
    <s v="Outlier"/>
  </r>
  <r>
    <s v="USR-100309"/>
    <d v="2025-05-01T00:00:00"/>
    <x v="0"/>
    <x v="3"/>
    <x v="0"/>
    <x v="0"/>
    <x v="1"/>
    <n v="0"/>
    <n v="0"/>
    <n v="0"/>
    <n v="0"/>
    <n v="0"/>
    <n v="0"/>
    <n v="0"/>
    <m/>
    <n v="70"/>
    <s v="Unique"/>
    <s v="Valid"/>
    <s v="Valid"/>
    <s v="Valid"/>
    <s v="Valid"/>
    <s v="Valid"/>
    <s v="Outlier"/>
  </r>
  <r>
    <s v="USR-100310"/>
    <d v="2025-05-16T00:00:00"/>
    <x v="0"/>
    <x v="3"/>
    <x v="0"/>
    <x v="3"/>
    <x v="0"/>
    <n v="1"/>
    <n v="0"/>
    <n v="0"/>
    <n v="0"/>
    <n v="0"/>
    <n v="0"/>
    <n v="0"/>
    <m/>
    <n v="77.7"/>
    <s v="Unique"/>
    <s v="Valid"/>
    <s v="Valid"/>
    <s v="Valid"/>
    <s v="Valid"/>
    <s v="Valid"/>
    <s v="Outlier"/>
  </r>
  <r>
    <s v="USR-100311"/>
    <d v="2025-03-08T00:00:00"/>
    <x v="0"/>
    <x v="1"/>
    <x v="1"/>
    <x v="1"/>
    <x v="1"/>
    <n v="0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312"/>
    <d v="2025-04-04T00:00:00"/>
    <x v="0"/>
    <x v="0"/>
    <x v="1"/>
    <x v="1"/>
    <x v="0"/>
    <n v="1"/>
    <n v="0"/>
    <n v="0"/>
    <n v="0"/>
    <n v="0"/>
    <n v="0"/>
    <n v="0"/>
    <m/>
    <n v="43.8"/>
    <s v="Unique"/>
    <s v="Valid"/>
    <s v="Valid"/>
    <s v="Valid"/>
    <s v="Valid"/>
    <s v="Valid"/>
    <s v="Outlier"/>
  </r>
  <r>
    <s v="USR-100313"/>
    <d v="2025-05-30T00:00:00"/>
    <x v="0"/>
    <x v="3"/>
    <x v="2"/>
    <x v="1"/>
    <x v="1"/>
    <n v="1"/>
    <n v="0"/>
    <n v="0"/>
    <n v="0"/>
    <n v="0"/>
    <n v="0"/>
    <n v="0"/>
    <m/>
    <n v="50.9"/>
    <s v="Unique"/>
    <s v="Valid"/>
    <s v="Valid"/>
    <s v="Valid"/>
    <s v="Valid"/>
    <s v="Valid"/>
    <s v="Outlier"/>
  </r>
  <r>
    <s v="USR-100314"/>
    <d v="2025-01-05T00:00:00"/>
    <x v="0"/>
    <x v="1"/>
    <x v="1"/>
    <x v="1"/>
    <x v="2"/>
    <n v="0"/>
    <n v="0"/>
    <n v="0"/>
    <n v="0"/>
    <n v="0"/>
    <n v="0"/>
    <n v="0"/>
    <m/>
    <n v="58.5"/>
    <s v="Unique"/>
    <s v="Valid"/>
    <s v="Valid"/>
    <s v="Valid"/>
    <s v="Valid"/>
    <s v="Valid"/>
    <s v="Outlier"/>
  </r>
  <r>
    <s v="USR-100315"/>
    <d v="2025-01-20T00:00:00"/>
    <x v="0"/>
    <x v="2"/>
    <x v="1"/>
    <x v="1"/>
    <x v="1"/>
    <n v="1"/>
    <n v="1"/>
    <n v="1"/>
    <n v="0"/>
    <n v="0"/>
    <n v="0"/>
    <n v="0"/>
    <m/>
    <n v="53.6"/>
    <s v="Unique"/>
    <s v="Valid"/>
    <s v="Valid"/>
    <s v="Valid"/>
    <s v="Valid"/>
    <s v="Valid"/>
    <s v="Outlier"/>
  </r>
  <r>
    <s v="USR-100316"/>
    <d v="2025-05-01T00:00:00"/>
    <x v="0"/>
    <x v="2"/>
    <x v="1"/>
    <x v="0"/>
    <x v="1"/>
    <n v="0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0317"/>
    <d v="2025-03-05T00:00:00"/>
    <x v="0"/>
    <x v="0"/>
    <x v="0"/>
    <x v="1"/>
    <x v="2"/>
    <n v="0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0318"/>
    <d v="2025-04-01T00:00:00"/>
    <x v="0"/>
    <x v="2"/>
    <x v="0"/>
    <x v="3"/>
    <x v="1"/>
    <n v="1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319"/>
    <d v="2025-05-03T00:00:00"/>
    <x v="0"/>
    <x v="0"/>
    <x v="1"/>
    <x v="1"/>
    <x v="1"/>
    <n v="1"/>
    <n v="0"/>
    <n v="0"/>
    <n v="0"/>
    <n v="0"/>
    <n v="0"/>
    <n v="0"/>
    <m/>
    <n v="80"/>
    <s v="Unique"/>
    <s v="Valid"/>
    <s v="Valid"/>
    <s v="Valid"/>
    <s v="Valid"/>
    <s v="Valid"/>
    <s v="Outlier"/>
  </r>
  <r>
    <s v="USR-100320"/>
    <d v="2025-03-06T00:00:00"/>
    <x v="0"/>
    <x v="3"/>
    <x v="0"/>
    <x v="2"/>
    <x v="2"/>
    <n v="1"/>
    <n v="0"/>
    <n v="0"/>
    <n v="0"/>
    <n v="0"/>
    <n v="0"/>
    <n v="0"/>
    <m/>
    <n v="39.299999999999997"/>
    <s v="Unique"/>
    <s v="Valid"/>
    <s v="Valid"/>
    <s v="Valid"/>
    <s v="Valid"/>
    <s v="Valid"/>
    <s v="Outlier"/>
  </r>
  <r>
    <s v="USR-100321"/>
    <d v="2025-04-01T00:00:00"/>
    <x v="0"/>
    <x v="0"/>
    <x v="0"/>
    <x v="3"/>
    <x v="2"/>
    <n v="0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0322"/>
    <d v="2025-02-09T00:00:00"/>
    <x v="0"/>
    <x v="0"/>
    <x v="0"/>
    <x v="4"/>
    <x v="0"/>
    <n v="1"/>
    <n v="0"/>
    <n v="0"/>
    <n v="0"/>
    <n v="0"/>
    <n v="2"/>
    <n v="0"/>
    <m/>
    <n v="61.2"/>
    <s v="Unique"/>
    <s v="Valid"/>
    <s v="Valid"/>
    <s v="Valid"/>
    <s v="Valid"/>
    <s v="Valid"/>
    <s v="Outlier"/>
  </r>
  <r>
    <s v="USR-100323"/>
    <d v="2025-04-12T00:00:00"/>
    <x v="0"/>
    <x v="1"/>
    <x v="1"/>
    <x v="1"/>
    <x v="0"/>
    <n v="1"/>
    <n v="1"/>
    <n v="0"/>
    <n v="0"/>
    <n v="0"/>
    <n v="0"/>
    <n v="0"/>
    <m/>
    <n v="66.2"/>
    <s v="Unique"/>
    <s v="Valid"/>
    <s v="Valid"/>
    <s v="Valid"/>
    <s v="Valid"/>
    <s v="Valid"/>
    <s v="Outlier"/>
  </r>
  <r>
    <s v="USR-100324"/>
    <d v="2025-03-18T00:00:00"/>
    <x v="0"/>
    <x v="2"/>
    <x v="1"/>
    <x v="4"/>
    <x v="1"/>
    <n v="1"/>
    <n v="1"/>
    <n v="1"/>
    <n v="0"/>
    <n v="0"/>
    <n v="0"/>
    <n v="0"/>
    <m/>
    <n v="61.3"/>
    <s v="Unique"/>
    <s v="Valid"/>
    <s v="Valid"/>
    <s v="Valid"/>
    <s v="Valid"/>
    <s v="Valid"/>
    <s v="Outlier"/>
  </r>
  <r>
    <s v="USR-100325"/>
    <d v="2025-04-03T00:00:00"/>
    <x v="0"/>
    <x v="2"/>
    <x v="1"/>
    <x v="2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0326"/>
    <d v="2025-04-02T00:00:00"/>
    <x v="0"/>
    <x v="1"/>
    <x v="1"/>
    <x v="0"/>
    <x v="2"/>
    <n v="1"/>
    <n v="1"/>
    <n v="1"/>
    <n v="0"/>
    <n v="0"/>
    <n v="0"/>
    <n v="0"/>
    <m/>
    <n v="84"/>
    <s v="Unique"/>
    <s v="Valid"/>
    <s v="Valid"/>
    <s v="Valid"/>
    <s v="Valid"/>
    <s v="Valid"/>
    <s v="Outlier"/>
  </r>
  <r>
    <s v="USR-100327"/>
    <d v="2025-05-10T00:00:00"/>
    <x v="0"/>
    <x v="1"/>
    <x v="0"/>
    <x v="0"/>
    <x v="0"/>
    <n v="0"/>
    <n v="0"/>
    <n v="0"/>
    <n v="0"/>
    <n v="0"/>
    <n v="0"/>
    <n v="0"/>
    <m/>
    <n v="59.8"/>
    <s v="Unique"/>
    <s v="Valid"/>
    <s v="Valid"/>
    <s v="Valid"/>
    <s v="Valid"/>
    <s v="Valid"/>
    <s v="Outlier"/>
  </r>
  <r>
    <s v="USR-100328"/>
    <d v="2025-04-29T00:00:00"/>
    <x v="0"/>
    <x v="1"/>
    <x v="0"/>
    <x v="2"/>
    <x v="1"/>
    <n v="1"/>
    <n v="0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329"/>
    <d v="2025-02-27T00:00:00"/>
    <x v="0"/>
    <x v="3"/>
    <x v="1"/>
    <x v="2"/>
    <x v="1"/>
    <n v="1"/>
    <n v="0"/>
    <n v="0"/>
    <n v="0"/>
    <n v="0"/>
    <n v="0"/>
    <n v="0"/>
    <m/>
    <n v="66.8"/>
    <s v="Unique"/>
    <s v="Valid"/>
    <s v="Valid"/>
    <s v="Valid"/>
    <s v="Valid"/>
    <s v="Valid"/>
    <s v="Outlier"/>
  </r>
  <r>
    <s v="USR-100330"/>
    <d v="2025-04-10T00:00:00"/>
    <x v="0"/>
    <x v="0"/>
    <x v="0"/>
    <x v="1"/>
    <x v="2"/>
    <n v="0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0331"/>
    <d v="2025-02-13T00:00:00"/>
    <x v="0"/>
    <x v="2"/>
    <x v="1"/>
    <x v="1"/>
    <x v="1"/>
    <n v="1"/>
    <n v="1"/>
    <n v="1"/>
    <n v="1"/>
    <n v="426.82"/>
    <n v="1"/>
    <n v="0"/>
    <n v="14"/>
    <n v="68.8"/>
    <s v="Unique"/>
    <s v="Valid"/>
    <s v="Valid"/>
    <s v="Valid"/>
    <s v="Valid"/>
    <s v="Valid"/>
    <s v="Outlier"/>
  </r>
  <r>
    <s v="USR-100332"/>
    <d v="2025-05-03T00:00:00"/>
    <x v="0"/>
    <x v="0"/>
    <x v="1"/>
    <x v="1"/>
    <x v="0"/>
    <n v="1"/>
    <n v="0"/>
    <n v="0"/>
    <n v="0"/>
    <n v="0"/>
    <n v="0"/>
    <n v="0"/>
    <m/>
    <n v="72.400000000000006"/>
    <s v="Unique"/>
    <s v="Valid"/>
    <s v="Valid"/>
    <s v="Valid"/>
    <s v="Valid"/>
    <s v="Valid"/>
    <s v="Outlier"/>
  </r>
  <r>
    <s v="USR-100333"/>
    <d v="2025-03-10T00:00:00"/>
    <x v="0"/>
    <x v="2"/>
    <x v="1"/>
    <x v="1"/>
    <x v="0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334"/>
    <d v="2025-01-10T00:00:00"/>
    <x v="0"/>
    <x v="1"/>
    <x v="2"/>
    <x v="4"/>
    <x v="1"/>
    <n v="1"/>
    <n v="0"/>
    <n v="0"/>
    <n v="0"/>
    <n v="0"/>
    <n v="0"/>
    <n v="0"/>
    <m/>
    <n v="30.8"/>
    <s v="Unique"/>
    <s v="Valid"/>
    <s v="Valid"/>
    <s v="Valid"/>
    <s v="Valid"/>
    <s v="Valid"/>
    <s v="Outlier"/>
  </r>
  <r>
    <s v="USR-100335"/>
    <d v="2025-01-16T00:00:00"/>
    <x v="0"/>
    <x v="3"/>
    <x v="1"/>
    <x v="0"/>
    <x v="0"/>
    <n v="1"/>
    <n v="1"/>
    <n v="1"/>
    <n v="1"/>
    <n v="874.55"/>
    <n v="0"/>
    <n v="0"/>
    <n v="9"/>
    <n v="44.2"/>
    <s v="Unique"/>
    <s v="Valid"/>
    <s v="Valid"/>
    <s v="Valid"/>
    <s v="Valid"/>
    <s v="Valid"/>
    <s v="Outlier"/>
  </r>
  <r>
    <s v="USR-100336"/>
    <d v="2025-02-11T00:00:00"/>
    <x v="0"/>
    <x v="3"/>
    <x v="0"/>
    <x v="1"/>
    <x v="2"/>
    <n v="1"/>
    <n v="1"/>
    <n v="1"/>
    <n v="1"/>
    <n v="2206.88"/>
    <n v="0"/>
    <n v="0"/>
    <n v="10"/>
    <n v="56.2"/>
    <s v="Unique"/>
    <s v="Valid"/>
    <s v="Valid"/>
    <s v="Valid"/>
    <s v="Valid"/>
    <s v="Valid"/>
    <s v="Outlier"/>
  </r>
  <r>
    <s v="USR-100337"/>
    <d v="2025-04-13T00:00:00"/>
    <x v="0"/>
    <x v="1"/>
    <x v="1"/>
    <x v="1"/>
    <x v="1"/>
    <n v="0"/>
    <n v="0"/>
    <n v="0"/>
    <n v="0"/>
    <n v="0"/>
    <n v="0"/>
    <n v="0"/>
    <m/>
    <n v="40.4"/>
    <s v="Unique"/>
    <s v="Valid"/>
    <s v="Valid"/>
    <s v="Valid"/>
    <s v="Valid"/>
    <s v="Valid"/>
    <s v="Outlier"/>
  </r>
  <r>
    <s v="USR-100338"/>
    <d v="2025-02-08T00:00:00"/>
    <x v="0"/>
    <x v="2"/>
    <x v="1"/>
    <x v="2"/>
    <x v="1"/>
    <n v="1"/>
    <n v="1"/>
    <n v="1"/>
    <n v="0"/>
    <n v="0"/>
    <n v="0"/>
    <n v="0"/>
    <m/>
    <n v="68.099999999999994"/>
    <s v="Unique"/>
    <s v="Valid"/>
    <s v="Valid"/>
    <s v="Valid"/>
    <s v="Valid"/>
    <s v="Valid"/>
    <s v="Outlier"/>
  </r>
  <r>
    <s v="USR-100339"/>
    <d v="2025-03-31T00:00:00"/>
    <x v="0"/>
    <x v="1"/>
    <x v="0"/>
    <x v="3"/>
    <x v="1"/>
    <n v="1"/>
    <n v="0"/>
    <n v="0"/>
    <n v="0"/>
    <n v="0"/>
    <n v="0"/>
    <n v="0"/>
    <m/>
    <n v="86.3"/>
    <s v="Unique"/>
    <s v="Valid"/>
    <s v="Valid"/>
    <s v="Valid"/>
    <s v="Valid"/>
    <s v="Valid"/>
    <s v="Outlier"/>
  </r>
  <r>
    <s v="USR-100340"/>
    <d v="2025-01-31T00:00:00"/>
    <x v="0"/>
    <x v="1"/>
    <x v="0"/>
    <x v="3"/>
    <x v="1"/>
    <n v="1"/>
    <n v="1"/>
    <n v="0"/>
    <n v="0"/>
    <n v="0"/>
    <n v="0"/>
    <n v="0"/>
    <m/>
    <n v="42.9"/>
    <s v="Unique"/>
    <s v="Valid"/>
    <s v="Valid"/>
    <s v="Valid"/>
    <s v="Valid"/>
    <s v="Valid"/>
    <s v="Outlier"/>
  </r>
  <r>
    <s v="USR-100341"/>
    <d v="2025-05-08T00:00:00"/>
    <x v="0"/>
    <x v="1"/>
    <x v="2"/>
    <x v="1"/>
    <x v="1"/>
    <n v="0"/>
    <n v="0"/>
    <n v="0"/>
    <n v="0"/>
    <n v="0"/>
    <n v="0"/>
    <n v="0"/>
    <m/>
    <n v="61.4"/>
    <s v="Unique"/>
    <s v="Valid"/>
    <s v="Valid"/>
    <s v="Valid"/>
    <s v="Valid"/>
    <s v="Valid"/>
    <s v="Outlier"/>
  </r>
  <r>
    <s v="USR-100342"/>
    <d v="2025-03-15T00:00:00"/>
    <x v="0"/>
    <x v="0"/>
    <x v="1"/>
    <x v="2"/>
    <x v="1"/>
    <n v="1"/>
    <n v="0"/>
    <n v="0"/>
    <n v="0"/>
    <n v="0"/>
    <n v="1"/>
    <n v="0"/>
    <m/>
    <n v="73.3"/>
    <s v="Unique"/>
    <s v="Valid"/>
    <s v="Valid"/>
    <s v="Valid"/>
    <s v="Valid"/>
    <s v="Valid"/>
    <s v="Outlier"/>
  </r>
  <r>
    <s v="USR-100343"/>
    <d v="2025-01-13T00:00:00"/>
    <x v="0"/>
    <x v="3"/>
    <x v="1"/>
    <x v="3"/>
    <x v="0"/>
    <n v="1"/>
    <n v="0"/>
    <n v="0"/>
    <n v="0"/>
    <n v="0"/>
    <n v="0"/>
    <n v="0"/>
    <m/>
    <n v="59.4"/>
    <s v="Unique"/>
    <s v="Valid"/>
    <s v="Valid"/>
    <s v="Valid"/>
    <s v="Valid"/>
    <s v="Valid"/>
    <s v="Outlier"/>
  </r>
  <r>
    <s v="USR-100344"/>
    <d v="2025-03-07T00:00:00"/>
    <x v="0"/>
    <x v="3"/>
    <x v="2"/>
    <x v="1"/>
    <x v="0"/>
    <n v="1"/>
    <n v="0"/>
    <n v="0"/>
    <n v="0"/>
    <n v="0"/>
    <n v="0"/>
    <n v="0"/>
    <m/>
    <n v="35.200000000000003"/>
    <s v="Unique"/>
    <s v="Valid"/>
    <s v="Valid"/>
    <s v="Valid"/>
    <s v="Valid"/>
    <s v="Valid"/>
    <s v="Outlier"/>
  </r>
  <r>
    <s v="USR-100345"/>
    <d v="2025-02-10T00:00:00"/>
    <x v="0"/>
    <x v="3"/>
    <x v="1"/>
    <x v="4"/>
    <x v="2"/>
    <n v="1"/>
    <n v="1"/>
    <n v="0"/>
    <n v="0"/>
    <n v="0"/>
    <n v="0"/>
    <n v="0"/>
    <m/>
    <n v="55.3"/>
    <s v="Unique"/>
    <s v="Valid"/>
    <s v="Valid"/>
    <s v="Valid"/>
    <s v="Valid"/>
    <s v="Valid"/>
    <s v="Outlier"/>
  </r>
  <r>
    <s v="USR-100346"/>
    <d v="2025-03-12T00:00:00"/>
    <x v="0"/>
    <x v="2"/>
    <x v="1"/>
    <x v="2"/>
    <x v="1"/>
    <n v="0"/>
    <n v="0"/>
    <n v="0"/>
    <n v="0"/>
    <n v="0"/>
    <n v="0"/>
    <n v="0"/>
    <m/>
    <n v="37.5"/>
    <s v="Unique"/>
    <s v="Valid"/>
    <s v="Valid"/>
    <s v="Valid"/>
    <s v="Valid"/>
    <s v="Valid"/>
    <s v="Outlier"/>
  </r>
  <r>
    <s v="USR-100347"/>
    <d v="2025-01-03T00:00:00"/>
    <x v="0"/>
    <x v="3"/>
    <x v="0"/>
    <x v="2"/>
    <x v="1"/>
    <n v="0"/>
    <n v="0"/>
    <n v="0"/>
    <n v="0"/>
    <n v="0"/>
    <n v="1"/>
    <n v="0"/>
    <m/>
    <n v="66.400000000000006"/>
    <s v="Unique"/>
    <s v="Valid"/>
    <s v="Valid"/>
    <s v="Valid"/>
    <s v="Valid"/>
    <s v="Valid"/>
    <s v="Outlier"/>
  </r>
  <r>
    <s v="USR-100348"/>
    <d v="2025-04-28T00:00:00"/>
    <x v="0"/>
    <x v="0"/>
    <x v="2"/>
    <x v="4"/>
    <x v="0"/>
    <n v="1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349"/>
    <d v="2025-04-17T00:00:00"/>
    <x v="0"/>
    <x v="2"/>
    <x v="1"/>
    <x v="1"/>
    <x v="1"/>
    <n v="0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350"/>
    <d v="2025-05-23T00:00:00"/>
    <x v="0"/>
    <x v="3"/>
    <x v="0"/>
    <x v="4"/>
    <x v="0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0351"/>
    <d v="2025-02-19T00:00:00"/>
    <x v="0"/>
    <x v="1"/>
    <x v="2"/>
    <x v="3"/>
    <x v="0"/>
    <n v="1"/>
    <n v="0"/>
    <n v="0"/>
    <n v="0"/>
    <n v="0"/>
    <n v="0"/>
    <n v="0"/>
    <m/>
    <n v="37.200000000000003"/>
    <s v="Unique"/>
    <s v="Valid"/>
    <s v="Valid"/>
    <s v="Valid"/>
    <s v="Valid"/>
    <s v="Valid"/>
    <s v="Outlier"/>
  </r>
  <r>
    <s v="USR-100352"/>
    <d v="2025-01-18T00:00:00"/>
    <x v="0"/>
    <x v="3"/>
    <x v="0"/>
    <x v="1"/>
    <x v="1"/>
    <n v="1"/>
    <n v="1"/>
    <n v="0"/>
    <n v="0"/>
    <n v="0"/>
    <n v="1"/>
    <n v="0"/>
    <m/>
    <n v="70.5"/>
    <s v="Unique"/>
    <s v="Valid"/>
    <s v="Valid"/>
    <s v="Valid"/>
    <s v="Valid"/>
    <s v="Valid"/>
    <s v="Outlier"/>
  </r>
  <r>
    <s v="USR-100353"/>
    <d v="2025-04-17T00:00:00"/>
    <x v="0"/>
    <x v="0"/>
    <x v="1"/>
    <x v="1"/>
    <x v="1"/>
    <n v="0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0354"/>
    <d v="2025-04-12T00:00:00"/>
    <x v="0"/>
    <x v="2"/>
    <x v="2"/>
    <x v="4"/>
    <x v="1"/>
    <n v="1"/>
    <n v="1"/>
    <n v="1"/>
    <n v="0"/>
    <n v="0"/>
    <n v="0"/>
    <n v="0"/>
    <m/>
    <n v="64.599999999999994"/>
    <s v="Unique"/>
    <s v="Valid"/>
    <s v="Valid"/>
    <s v="Valid"/>
    <s v="Valid"/>
    <s v="Valid"/>
    <s v="Outlier"/>
  </r>
  <r>
    <s v="USR-100355"/>
    <d v="2025-05-16T00:00:00"/>
    <x v="0"/>
    <x v="2"/>
    <x v="1"/>
    <x v="0"/>
    <x v="1"/>
    <n v="1"/>
    <n v="1"/>
    <n v="0"/>
    <n v="0"/>
    <n v="0"/>
    <n v="0"/>
    <n v="0"/>
    <m/>
    <n v="91.7"/>
    <s v="Unique"/>
    <s v="Valid"/>
    <s v="Valid"/>
    <s v="Valid"/>
    <s v="Valid"/>
    <s v="Valid"/>
    <s v="Outlier"/>
  </r>
  <r>
    <s v="USR-100356"/>
    <d v="2025-03-24T00:00:00"/>
    <x v="0"/>
    <x v="1"/>
    <x v="1"/>
    <x v="4"/>
    <x v="1"/>
    <n v="0"/>
    <n v="0"/>
    <n v="0"/>
    <n v="0"/>
    <n v="0"/>
    <n v="0"/>
    <n v="0"/>
    <m/>
    <n v="46"/>
    <s v="Unique"/>
    <s v="Valid"/>
    <s v="Valid"/>
    <s v="Valid"/>
    <s v="Valid"/>
    <s v="Valid"/>
    <s v="Outlier"/>
  </r>
  <r>
    <s v="USR-100357"/>
    <d v="2025-02-16T00:00:00"/>
    <x v="0"/>
    <x v="1"/>
    <x v="1"/>
    <x v="1"/>
    <x v="0"/>
    <n v="0"/>
    <n v="0"/>
    <n v="0"/>
    <n v="0"/>
    <n v="0"/>
    <n v="0"/>
    <n v="0"/>
    <m/>
    <n v="50.8"/>
    <s v="Unique"/>
    <s v="Valid"/>
    <s v="Valid"/>
    <s v="Valid"/>
    <s v="Valid"/>
    <s v="Valid"/>
    <s v="Outlier"/>
  </r>
  <r>
    <s v="USR-100358"/>
    <d v="2025-03-19T00:00:00"/>
    <x v="0"/>
    <x v="0"/>
    <x v="2"/>
    <x v="1"/>
    <x v="1"/>
    <n v="1"/>
    <n v="1"/>
    <n v="1"/>
    <n v="0"/>
    <n v="0"/>
    <n v="0"/>
    <n v="0"/>
    <m/>
    <n v="52.8"/>
    <s v="Unique"/>
    <s v="Valid"/>
    <s v="Valid"/>
    <s v="Valid"/>
    <s v="Valid"/>
    <s v="Valid"/>
    <s v="Outlier"/>
  </r>
  <r>
    <s v="USR-100359"/>
    <d v="2025-04-21T00:00:00"/>
    <x v="0"/>
    <x v="3"/>
    <x v="1"/>
    <x v="1"/>
    <x v="0"/>
    <n v="1"/>
    <n v="1"/>
    <n v="1"/>
    <n v="0"/>
    <n v="0"/>
    <n v="0"/>
    <n v="0"/>
    <m/>
    <n v="63"/>
    <s v="Unique"/>
    <s v="Valid"/>
    <s v="Valid"/>
    <s v="Valid"/>
    <s v="Valid"/>
    <s v="Valid"/>
    <s v="Outlier"/>
  </r>
  <r>
    <s v="USR-100360"/>
    <d v="2025-01-11T00:00:00"/>
    <x v="0"/>
    <x v="1"/>
    <x v="1"/>
    <x v="1"/>
    <x v="1"/>
    <n v="0"/>
    <n v="0"/>
    <n v="0"/>
    <n v="0"/>
    <n v="0"/>
    <n v="0"/>
    <n v="0"/>
    <m/>
    <n v="28.4"/>
    <s v="Unique"/>
    <s v="Valid"/>
    <s v="Valid"/>
    <s v="Valid"/>
    <s v="Valid"/>
    <s v="Valid"/>
    <s v="Outlier"/>
  </r>
  <r>
    <s v="USR-100361"/>
    <d v="2025-04-24T00:00:00"/>
    <x v="0"/>
    <x v="1"/>
    <x v="0"/>
    <x v="1"/>
    <x v="1"/>
    <n v="1"/>
    <n v="1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362"/>
    <d v="2025-03-13T00:00:00"/>
    <x v="0"/>
    <x v="0"/>
    <x v="1"/>
    <x v="4"/>
    <x v="2"/>
    <n v="1"/>
    <n v="1"/>
    <n v="1"/>
    <n v="0"/>
    <n v="0"/>
    <n v="0"/>
    <n v="0"/>
    <m/>
    <n v="54.7"/>
    <s v="Unique"/>
    <s v="Valid"/>
    <s v="Valid"/>
    <s v="Valid"/>
    <s v="Valid"/>
    <s v="Valid"/>
    <s v="Outlier"/>
  </r>
  <r>
    <s v="USR-100363"/>
    <d v="2025-01-30T00:00:00"/>
    <x v="0"/>
    <x v="0"/>
    <x v="1"/>
    <x v="4"/>
    <x v="0"/>
    <n v="0"/>
    <n v="0"/>
    <n v="0"/>
    <n v="0"/>
    <n v="0"/>
    <n v="0"/>
    <n v="0"/>
    <m/>
    <n v="36.1"/>
    <s v="Unique"/>
    <s v="Valid"/>
    <s v="Valid"/>
    <s v="Valid"/>
    <s v="Valid"/>
    <s v="Valid"/>
    <s v="Outlier"/>
  </r>
  <r>
    <s v="USR-100364"/>
    <d v="2025-05-08T00:00:00"/>
    <x v="0"/>
    <x v="3"/>
    <x v="1"/>
    <x v="4"/>
    <x v="0"/>
    <n v="1"/>
    <n v="1"/>
    <n v="1"/>
    <n v="0"/>
    <n v="0"/>
    <n v="0"/>
    <n v="0"/>
    <m/>
    <n v="70.400000000000006"/>
    <s v="Unique"/>
    <s v="Valid"/>
    <s v="Valid"/>
    <s v="Valid"/>
    <s v="Valid"/>
    <s v="Valid"/>
    <s v="Outlier"/>
  </r>
  <r>
    <s v="USR-100365"/>
    <d v="2025-01-08T00:00:00"/>
    <x v="0"/>
    <x v="2"/>
    <x v="0"/>
    <x v="4"/>
    <x v="1"/>
    <n v="1"/>
    <n v="0"/>
    <n v="0"/>
    <n v="0"/>
    <n v="0"/>
    <n v="0"/>
    <n v="0"/>
    <m/>
    <n v="56.4"/>
    <s v="Unique"/>
    <s v="Valid"/>
    <s v="Valid"/>
    <s v="Valid"/>
    <s v="Valid"/>
    <s v="Valid"/>
    <s v="Outlier"/>
  </r>
  <r>
    <s v="USR-100366"/>
    <d v="2025-05-03T00:00:00"/>
    <x v="0"/>
    <x v="3"/>
    <x v="1"/>
    <x v="1"/>
    <x v="1"/>
    <n v="1"/>
    <n v="0"/>
    <n v="0"/>
    <n v="0"/>
    <n v="0"/>
    <n v="0"/>
    <n v="0"/>
    <m/>
    <n v="79.2"/>
    <s v="Unique"/>
    <s v="Valid"/>
    <s v="Valid"/>
    <s v="Valid"/>
    <s v="Valid"/>
    <s v="Valid"/>
    <s v="Outlier"/>
  </r>
  <r>
    <s v="USR-100367"/>
    <d v="2025-02-12T00:00:00"/>
    <x v="0"/>
    <x v="2"/>
    <x v="1"/>
    <x v="2"/>
    <x v="1"/>
    <n v="1"/>
    <n v="1"/>
    <n v="1"/>
    <n v="0"/>
    <n v="0"/>
    <n v="0"/>
    <n v="0"/>
    <m/>
    <n v="60.1"/>
    <s v="Unique"/>
    <s v="Valid"/>
    <s v="Valid"/>
    <s v="Valid"/>
    <s v="Valid"/>
    <s v="Valid"/>
    <s v="Outlier"/>
  </r>
  <r>
    <s v="USR-100368"/>
    <d v="2025-02-25T00:00:00"/>
    <x v="0"/>
    <x v="3"/>
    <x v="2"/>
    <x v="1"/>
    <x v="1"/>
    <n v="0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369"/>
    <d v="2025-04-14T00:00:00"/>
    <x v="0"/>
    <x v="3"/>
    <x v="1"/>
    <x v="3"/>
    <x v="1"/>
    <n v="1"/>
    <n v="1"/>
    <n v="1"/>
    <n v="0"/>
    <n v="0"/>
    <n v="0"/>
    <n v="0"/>
    <m/>
    <n v="69"/>
    <s v="Unique"/>
    <s v="Valid"/>
    <s v="Valid"/>
    <s v="Valid"/>
    <s v="Valid"/>
    <s v="Valid"/>
    <s v="Outlier"/>
  </r>
  <r>
    <s v="USR-100370"/>
    <d v="2025-01-08T00:00:00"/>
    <x v="0"/>
    <x v="0"/>
    <x v="1"/>
    <x v="3"/>
    <x v="2"/>
    <n v="1"/>
    <n v="1"/>
    <n v="1"/>
    <n v="0"/>
    <n v="0"/>
    <n v="1"/>
    <n v="0"/>
    <m/>
    <n v="80.8"/>
    <s v="Unique"/>
    <s v="Valid"/>
    <s v="Valid"/>
    <s v="Valid"/>
    <s v="Valid"/>
    <s v="Valid"/>
    <s v="Outlier"/>
  </r>
  <r>
    <s v="USR-100371"/>
    <d v="2025-03-14T00:00:00"/>
    <x v="0"/>
    <x v="2"/>
    <x v="1"/>
    <x v="0"/>
    <x v="1"/>
    <n v="0"/>
    <n v="0"/>
    <n v="0"/>
    <n v="0"/>
    <n v="0"/>
    <n v="0"/>
    <n v="0"/>
    <m/>
    <n v="32.799999999999997"/>
    <s v="Unique"/>
    <s v="Valid"/>
    <s v="Valid"/>
    <s v="Valid"/>
    <s v="Valid"/>
    <s v="Valid"/>
    <s v="Outlier"/>
  </r>
  <r>
    <s v="USR-100372"/>
    <d v="2025-04-29T00:00:00"/>
    <x v="0"/>
    <x v="0"/>
    <x v="0"/>
    <x v="2"/>
    <x v="2"/>
    <n v="1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373"/>
    <d v="2025-05-01T00:00:00"/>
    <x v="0"/>
    <x v="2"/>
    <x v="0"/>
    <x v="4"/>
    <x v="1"/>
    <n v="1"/>
    <n v="0"/>
    <n v="0"/>
    <n v="0"/>
    <n v="0"/>
    <n v="0"/>
    <n v="0"/>
    <m/>
    <n v="76.400000000000006"/>
    <s v="Unique"/>
    <s v="Valid"/>
    <s v="Valid"/>
    <s v="Valid"/>
    <s v="Valid"/>
    <s v="Valid"/>
    <s v="Outlier"/>
  </r>
  <r>
    <s v="USR-100374"/>
    <d v="2025-03-19T00:00:00"/>
    <x v="0"/>
    <x v="0"/>
    <x v="1"/>
    <x v="3"/>
    <x v="1"/>
    <n v="1"/>
    <n v="0"/>
    <n v="0"/>
    <n v="0"/>
    <n v="0"/>
    <n v="0"/>
    <n v="0"/>
    <m/>
    <n v="28.5"/>
    <s v="Unique"/>
    <s v="Valid"/>
    <s v="Valid"/>
    <s v="Valid"/>
    <s v="Valid"/>
    <s v="Valid"/>
    <s v="Outlier"/>
  </r>
  <r>
    <s v="USR-100375"/>
    <d v="2025-05-01T00:00:00"/>
    <x v="0"/>
    <x v="3"/>
    <x v="0"/>
    <x v="4"/>
    <x v="0"/>
    <n v="1"/>
    <n v="1"/>
    <n v="1"/>
    <n v="0"/>
    <n v="0"/>
    <n v="0"/>
    <n v="0"/>
    <m/>
    <n v="48.3"/>
    <s v="Unique"/>
    <s v="Valid"/>
    <s v="Valid"/>
    <s v="Valid"/>
    <s v="Valid"/>
    <s v="Valid"/>
    <s v="Outlier"/>
  </r>
  <r>
    <s v="USR-100376"/>
    <d v="2025-03-14T00:00:00"/>
    <x v="0"/>
    <x v="1"/>
    <x v="1"/>
    <x v="1"/>
    <x v="1"/>
    <n v="1"/>
    <n v="1"/>
    <n v="0"/>
    <n v="0"/>
    <n v="0"/>
    <n v="0"/>
    <n v="0"/>
    <m/>
    <n v="43.4"/>
    <s v="Unique"/>
    <s v="Valid"/>
    <s v="Valid"/>
    <s v="Valid"/>
    <s v="Valid"/>
    <s v="Valid"/>
    <s v="Outlier"/>
  </r>
  <r>
    <s v="USR-100377"/>
    <d v="2025-03-23T00:00:00"/>
    <x v="0"/>
    <x v="0"/>
    <x v="1"/>
    <x v="2"/>
    <x v="1"/>
    <n v="0"/>
    <n v="0"/>
    <n v="0"/>
    <n v="0"/>
    <n v="0"/>
    <n v="0"/>
    <n v="0"/>
    <m/>
    <n v="43"/>
    <s v="Unique"/>
    <s v="Valid"/>
    <s v="Valid"/>
    <s v="Valid"/>
    <s v="Valid"/>
    <s v="Valid"/>
    <s v="Outlier"/>
  </r>
  <r>
    <s v="USR-100378"/>
    <d v="2025-02-08T00:00:00"/>
    <x v="0"/>
    <x v="2"/>
    <x v="1"/>
    <x v="3"/>
    <x v="0"/>
    <n v="1"/>
    <n v="1"/>
    <n v="1"/>
    <n v="0"/>
    <n v="0"/>
    <n v="0"/>
    <n v="0"/>
    <m/>
    <n v="91.8"/>
    <s v="Unique"/>
    <s v="Valid"/>
    <s v="Valid"/>
    <s v="Valid"/>
    <s v="Valid"/>
    <s v="Valid"/>
    <s v="Outlier"/>
  </r>
  <r>
    <s v="USR-100379"/>
    <d v="2025-04-15T00:00:00"/>
    <x v="0"/>
    <x v="1"/>
    <x v="2"/>
    <x v="2"/>
    <x v="0"/>
    <n v="1"/>
    <n v="0"/>
    <n v="0"/>
    <n v="0"/>
    <n v="0"/>
    <n v="1"/>
    <n v="0"/>
    <m/>
    <n v="69.3"/>
    <s v="Unique"/>
    <s v="Valid"/>
    <s v="Valid"/>
    <s v="Valid"/>
    <s v="Valid"/>
    <s v="Valid"/>
    <s v="Outlier"/>
  </r>
  <r>
    <s v="USR-100380"/>
    <d v="2025-01-03T00:00:00"/>
    <x v="0"/>
    <x v="3"/>
    <x v="0"/>
    <x v="2"/>
    <x v="0"/>
    <n v="1"/>
    <n v="0"/>
    <n v="0"/>
    <n v="0"/>
    <n v="0"/>
    <n v="0"/>
    <n v="0"/>
    <m/>
    <n v="58.9"/>
    <s v="Unique"/>
    <s v="Valid"/>
    <s v="Valid"/>
    <s v="Valid"/>
    <s v="Valid"/>
    <s v="Valid"/>
    <s v="Outlier"/>
  </r>
  <r>
    <s v="USR-100381"/>
    <d v="2025-03-23T00:00:00"/>
    <x v="0"/>
    <x v="1"/>
    <x v="1"/>
    <x v="4"/>
    <x v="1"/>
    <n v="1"/>
    <n v="1"/>
    <n v="1"/>
    <n v="0"/>
    <n v="0"/>
    <n v="0"/>
    <n v="0"/>
    <m/>
    <n v="76"/>
    <s v="Unique"/>
    <s v="Valid"/>
    <s v="Valid"/>
    <s v="Valid"/>
    <s v="Valid"/>
    <s v="Valid"/>
    <s v="Outlier"/>
  </r>
  <r>
    <s v="USR-100382"/>
    <d v="2025-05-27T00:00:00"/>
    <x v="0"/>
    <x v="3"/>
    <x v="1"/>
    <x v="3"/>
    <x v="2"/>
    <n v="1"/>
    <n v="0"/>
    <n v="0"/>
    <n v="0"/>
    <n v="0"/>
    <n v="0"/>
    <n v="0"/>
    <m/>
    <n v="46"/>
    <s v="Unique"/>
    <s v="Valid"/>
    <s v="Valid"/>
    <s v="Valid"/>
    <s v="Valid"/>
    <s v="Valid"/>
    <s v="Outlier"/>
  </r>
  <r>
    <s v="USR-100383"/>
    <d v="2025-04-30T00:00:00"/>
    <x v="0"/>
    <x v="2"/>
    <x v="1"/>
    <x v="1"/>
    <x v="1"/>
    <n v="1"/>
    <n v="0"/>
    <n v="0"/>
    <n v="0"/>
    <n v="0"/>
    <n v="0"/>
    <n v="0"/>
    <m/>
    <n v="54.1"/>
    <s v="Unique"/>
    <s v="Valid"/>
    <s v="Valid"/>
    <s v="Valid"/>
    <s v="Valid"/>
    <s v="Valid"/>
    <s v="Outlier"/>
  </r>
  <r>
    <s v="USR-100384"/>
    <d v="2025-03-07T00:00:00"/>
    <x v="0"/>
    <x v="1"/>
    <x v="1"/>
    <x v="4"/>
    <x v="0"/>
    <n v="1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0385"/>
    <d v="2025-05-10T00:00:00"/>
    <x v="0"/>
    <x v="3"/>
    <x v="1"/>
    <x v="1"/>
    <x v="0"/>
    <n v="1"/>
    <n v="1"/>
    <n v="1"/>
    <n v="0"/>
    <n v="0"/>
    <n v="0"/>
    <n v="0"/>
    <m/>
    <n v="71.900000000000006"/>
    <s v="Unique"/>
    <s v="Valid"/>
    <s v="Valid"/>
    <s v="Valid"/>
    <s v="Valid"/>
    <s v="Valid"/>
    <s v="Outlier"/>
  </r>
  <r>
    <s v="USR-100386"/>
    <d v="2025-05-22T00:00:00"/>
    <x v="0"/>
    <x v="2"/>
    <x v="1"/>
    <x v="1"/>
    <x v="1"/>
    <n v="0"/>
    <n v="0"/>
    <n v="0"/>
    <n v="0"/>
    <n v="0"/>
    <n v="2"/>
    <n v="0"/>
    <m/>
    <n v="38"/>
    <s v="Unique"/>
    <s v="Valid"/>
    <s v="Valid"/>
    <s v="Valid"/>
    <s v="Valid"/>
    <s v="Valid"/>
    <s v="Outlier"/>
  </r>
  <r>
    <s v="USR-100387"/>
    <d v="2025-02-09T00:00:00"/>
    <x v="0"/>
    <x v="2"/>
    <x v="1"/>
    <x v="2"/>
    <x v="1"/>
    <n v="1"/>
    <n v="1"/>
    <n v="0"/>
    <n v="0"/>
    <n v="0"/>
    <n v="0"/>
    <n v="0"/>
    <m/>
    <n v="43.7"/>
    <s v="Unique"/>
    <s v="Valid"/>
    <s v="Valid"/>
    <s v="Valid"/>
    <s v="Valid"/>
    <s v="Valid"/>
    <s v="Outlier"/>
  </r>
  <r>
    <s v="USR-100388"/>
    <d v="2025-05-30T00:00:00"/>
    <x v="0"/>
    <x v="1"/>
    <x v="0"/>
    <x v="1"/>
    <x v="2"/>
    <n v="1"/>
    <n v="0"/>
    <n v="0"/>
    <n v="0"/>
    <n v="0"/>
    <n v="1"/>
    <n v="0"/>
    <m/>
    <n v="32.200000000000003"/>
    <s v="Unique"/>
    <s v="Valid"/>
    <s v="Valid"/>
    <s v="Valid"/>
    <s v="Valid"/>
    <s v="Valid"/>
    <s v="Outlier"/>
  </r>
  <r>
    <s v="USR-100389"/>
    <d v="2025-05-01T00:00:00"/>
    <x v="0"/>
    <x v="3"/>
    <x v="1"/>
    <x v="1"/>
    <x v="2"/>
    <n v="1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0390"/>
    <d v="2025-01-03T00:00:00"/>
    <x v="0"/>
    <x v="3"/>
    <x v="1"/>
    <x v="2"/>
    <x v="1"/>
    <n v="1"/>
    <n v="0"/>
    <n v="0"/>
    <n v="0"/>
    <n v="0"/>
    <n v="0"/>
    <n v="0"/>
    <m/>
    <n v="49"/>
    <s v="Unique"/>
    <s v="Valid"/>
    <s v="Valid"/>
    <s v="Valid"/>
    <s v="Valid"/>
    <s v="Valid"/>
    <s v="Outlier"/>
  </r>
  <r>
    <s v="USR-100391"/>
    <d v="2025-02-13T00:00:00"/>
    <x v="0"/>
    <x v="2"/>
    <x v="1"/>
    <x v="1"/>
    <x v="1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392"/>
    <d v="2025-01-14T00:00:00"/>
    <x v="0"/>
    <x v="3"/>
    <x v="0"/>
    <x v="1"/>
    <x v="1"/>
    <n v="0"/>
    <n v="0"/>
    <n v="0"/>
    <n v="0"/>
    <n v="0"/>
    <n v="2"/>
    <n v="0"/>
    <m/>
    <n v="46.3"/>
    <s v="Unique"/>
    <s v="Valid"/>
    <s v="Valid"/>
    <s v="Valid"/>
    <s v="Valid"/>
    <s v="Valid"/>
    <s v="Outlier"/>
  </r>
  <r>
    <s v="USR-100393"/>
    <d v="2025-02-24T00:00:00"/>
    <x v="0"/>
    <x v="0"/>
    <x v="1"/>
    <x v="3"/>
    <x v="1"/>
    <n v="0"/>
    <n v="0"/>
    <n v="0"/>
    <n v="0"/>
    <n v="0"/>
    <n v="0"/>
    <n v="0"/>
    <m/>
    <n v="64"/>
    <s v="Unique"/>
    <s v="Valid"/>
    <s v="Valid"/>
    <s v="Valid"/>
    <s v="Valid"/>
    <s v="Valid"/>
    <s v="Outlier"/>
  </r>
  <r>
    <s v="USR-100394"/>
    <d v="2025-05-16T00:00:00"/>
    <x v="0"/>
    <x v="1"/>
    <x v="0"/>
    <x v="1"/>
    <x v="0"/>
    <n v="1"/>
    <n v="1"/>
    <n v="0"/>
    <n v="0"/>
    <n v="0"/>
    <n v="0"/>
    <n v="0"/>
    <m/>
    <n v="56.2"/>
    <s v="Unique"/>
    <s v="Valid"/>
    <s v="Valid"/>
    <s v="Valid"/>
    <s v="Valid"/>
    <s v="Valid"/>
    <s v="Outlier"/>
  </r>
  <r>
    <s v="USR-100395"/>
    <d v="2025-04-29T00:00:00"/>
    <x v="0"/>
    <x v="0"/>
    <x v="1"/>
    <x v="2"/>
    <x v="1"/>
    <n v="1"/>
    <n v="1"/>
    <n v="1"/>
    <n v="0"/>
    <n v="0"/>
    <n v="0"/>
    <n v="0"/>
    <m/>
    <n v="77.5"/>
    <s v="Unique"/>
    <s v="Valid"/>
    <s v="Valid"/>
    <s v="Valid"/>
    <s v="Valid"/>
    <s v="Valid"/>
    <s v="Outlier"/>
  </r>
  <r>
    <s v="USR-100396"/>
    <d v="2025-04-30T00:00:00"/>
    <x v="0"/>
    <x v="3"/>
    <x v="0"/>
    <x v="0"/>
    <x v="0"/>
    <n v="1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397"/>
    <d v="2025-01-09T00:00:00"/>
    <x v="0"/>
    <x v="3"/>
    <x v="0"/>
    <x v="1"/>
    <x v="1"/>
    <n v="1"/>
    <n v="1"/>
    <n v="0"/>
    <n v="0"/>
    <n v="0"/>
    <n v="0"/>
    <n v="0"/>
    <m/>
    <n v="63"/>
    <s v="Unique"/>
    <s v="Valid"/>
    <s v="Valid"/>
    <s v="Valid"/>
    <s v="Valid"/>
    <s v="Valid"/>
    <s v="Outlier"/>
  </r>
  <r>
    <s v="USR-100398"/>
    <d v="2025-04-25T00:00:00"/>
    <x v="0"/>
    <x v="3"/>
    <x v="1"/>
    <x v="1"/>
    <x v="1"/>
    <n v="1"/>
    <n v="1"/>
    <n v="0"/>
    <n v="0"/>
    <n v="0"/>
    <n v="0"/>
    <n v="0"/>
    <m/>
    <n v="76.5"/>
    <s v="Unique"/>
    <s v="Valid"/>
    <s v="Valid"/>
    <s v="Valid"/>
    <s v="Valid"/>
    <s v="Valid"/>
    <s v="Outlier"/>
  </r>
  <r>
    <s v="USR-100399"/>
    <d v="2025-03-12T00:00:00"/>
    <x v="0"/>
    <x v="0"/>
    <x v="0"/>
    <x v="2"/>
    <x v="1"/>
    <n v="1"/>
    <n v="0"/>
    <n v="0"/>
    <n v="0"/>
    <n v="0"/>
    <n v="0"/>
    <n v="0"/>
    <m/>
    <n v="39.700000000000003"/>
    <s v="Unique"/>
    <s v="Valid"/>
    <s v="Valid"/>
    <s v="Valid"/>
    <s v="Valid"/>
    <s v="Valid"/>
    <s v="Outlier"/>
  </r>
  <r>
    <s v="USR-100400"/>
    <d v="2025-03-20T00:00:00"/>
    <x v="0"/>
    <x v="0"/>
    <x v="1"/>
    <x v="1"/>
    <x v="1"/>
    <n v="1"/>
    <n v="1"/>
    <n v="0"/>
    <n v="0"/>
    <n v="0"/>
    <n v="0"/>
    <n v="0"/>
    <m/>
    <n v="80.2"/>
    <s v="Unique"/>
    <s v="Valid"/>
    <s v="Valid"/>
    <s v="Valid"/>
    <s v="Valid"/>
    <s v="Valid"/>
    <s v="Outlier"/>
  </r>
  <r>
    <s v="USR-100401"/>
    <d v="2025-02-18T00:00:00"/>
    <x v="0"/>
    <x v="1"/>
    <x v="1"/>
    <x v="2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0402"/>
    <d v="2025-01-22T00:00:00"/>
    <x v="0"/>
    <x v="0"/>
    <x v="1"/>
    <x v="4"/>
    <x v="0"/>
    <n v="0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0403"/>
    <d v="2025-02-08T00:00:00"/>
    <x v="0"/>
    <x v="1"/>
    <x v="1"/>
    <x v="0"/>
    <x v="0"/>
    <n v="1"/>
    <n v="1"/>
    <n v="1"/>
    <n v="0"/>
    <n v="0"/>
    <n v="0"/>
    <n v="0"/>
    <m/>
    <n v="69.099999999999994"/>
    <s v="Unique"/>
    <s v="Valid"/>
    <s v="Valid"/>
    <s v="Valid"/>
    <s v="Valid"/>
    <s v="Valid"/>
    <s v="Outlier"/>
  </r>
  <r>
    <s v="USR-100404"/>
    <d v="2025-01-20T00:00:00"/>
    <x v="0"/>
    <x v="0"/>
    <x v="1"/>
    <x v="0"/>
    <x v="2"/>
    <n v="0"/>
    <n v="0"/>
    <n v="0"/>
    <n v="0"/>
    <n v="0"/>
    <n v="1"/>
    <n v="0"/>
    <m/>
    <n v="70.599999999999994"/>
    <s v="Unique"/>
    <s v="Valid"/>
    <s v="Valid"/>
    <s v="Valid"/>
    <s v="Valid"/>
    <s v="Valid"/>
    <s v="Outlier"/>
  </r>
  <r>
    <s v="USR-100405"/>
    <d v="2025-04-22T00:00:00"/>
    <x v="0"/>
    <x v="1"/>
    <x v="0"/>
    <x v="3"/>
    <x v="1"/>
    <n v="1"/>
    <n v="0"/>
    <n v="0"/>
    <n v="0"/>
    <n v="0"/>
    <n v="0"/>
    <n v="0"/>
    <m/>
    <n v="57.9"/>
    <s v="Unique"/>
    <s v="Valid"/>
    <s v="Valid"/>
    <s v="Valid"/>
    <s v="Valid"/>
    <s v="Valid"/>
    <s v="Outlier"/>
  </r>
  <r>
    <s v="USR-100406"/>
    <d v="2025-01-22T00:00:00"/>
    <x v="0"/>
    <x v="2"/>
    <x v="1"/>
    <x v="1"/>
    <x v="0"/>
    <n v="1"/>
    <n v="1"/>
    <n v="0"/>
    <n v="0"/>
    <n v="0"/>
    <n v="0"/>
    <n v="0"/>
    <m/>
    <n v="41.4"/>
    <s v="Unique"/>
    <s v="Valid"/>
    <s v="Valid"/>
    <s v="Valid"/>
    <s v="Valid"/>
    <s v="Valid"/>
    <s v="Outlier"/>
  </r>
  <r>
    <s v="USR-100407"/>
    <d v="2025-05-11T00:00:00"/>
    <x v="0"/>
    <x v="1"/>
    <x v="1"/>
    <x v="1"/>
    <x v="0"/>
    <n v="1"/>
    <n v="0"/>
    <n v="0"/>
    <n v="0"/>
    <n v="0"/>
    <n v="0"/>
    <n v="0"/>
    <m/>
    <n v="60.9"/>
    <s v="Unique"/>
    <s v="Valid"/>
    <s v="Valid"/>
    <s v="Valid"/>
    <s v="Valid"/>
    <s v="Valid"/>
    <s v="Outlier"/>
  </r>
  <r>
    <s v="USR-100408"/>
    <d v="2025-02-06T00:00:00"/>
    <x v="0"/>
    <x v="3"/>
    <x v="1"/>
    <x v="1"/>
    <x v="0"/>
    <n v="0"/>
    <n v="0"/>
    <n v="0"/>
    <n v="0"/>
    <n v="0"/>
    <n v="1"/>
    <n v="0"/>
    <m/>
    <n v="63.8"/>
    <s v="Unique"/>
    <s v="Valid"/>
    <s v="Valid"/>
    <s v="Valid"/>
    <s v="Valid"/>
    <s v="Valid"/>
    <s v="Outlier"/>
  </r>
  <r>
    <s v="USR-100409"/>
    <d v="2025-02-21T00:00:00"/>
    <x v="0"/>
    <x v="0"/>
    <x v="0"/>
    <x v="1"/>
    <x v="2"/>
    <n v="1"/>
    <n v="0"/>
    <n v="0"/>
    <n v="0"/>
    <n v="0"/>
    <n v="0"/>
    <n v="0"/>
    <m/>
    <n v="79.2"/>
    <s v="Unique"/>
    <s v="Valid"/>
    <s v="Valid"/>
    <s v="Valid"/>
    <s v="Valid"/>
    <s v="Valid"/>
    <s v="Outlier"/>
  </r>
  <r>
    <s v="USR-100410"/>
    <d v="2025-01-13T00:00:00"/>
    <x v="0"/>
    <x v="1"/>
    <x v="1"/>
    <x v="0"/>
    <x v="2"/>
    <n v="1"/>
    <n v="1"/>
    <n v="1"/>
    <n v="0"/>
    <n v="0"/>
    <n v="0"/>
    <n v="0"/>
    <m/>
    <n v="53.3"/>
    <s v="Unique"/>
    <s v="Valid"/>
    <s v="Valid"/>
    <s v="Valid"/>
    <s v="Valid"/>
    <s v="Valid"/>
    <s v="Outlier"/>
  </r>
  <r>
    <s v="USR-100411"/>
    <d v="2025-03-07T00:00:00"/>
    <x v="0"/>
    <x v="0"/>
    <x v="1"/>
    <x v="3"/>
    <x v="2"/>
    <n v="1"/>
    <n v="1"/>
    <n v="1"/>
    <n v="1"/>
    <n v="2144.8200000000002"/>
    <n v="0"/>
    <n v="0"/>
    <n v="6"/>
    <n v="52.3"/>
    <s v="Unique"/>
    <s v="Valid"/>
    <s v="Valid"/>
    <s v="Valid"/>
    <s v="Valid"/>
    <s v="Valid"/>
    <s v="Outlier"/>
  </r>
  <r>
    <s v="USR-100412"/>
    <d v="2025-02-26T00:00:00"/>
    <x v="0"/>
    <x v="1"/>
    <x v="0"/>
    <x v="1"/>
    <x v="0"/>
    <n v="1"/>
    <n v="1"/>
    <n v="0"/>
    <n v="0"/>
    <n v="0"/>
    <n v="0"/>
    <n v="0"/>
    <m/>
    <n v="62.4"/>
    <s v="Unique"/>
    <s v="Valid"/>
    <s v="Valid"/>
    <s v="Valid"/>
    <s v="Valid"/>
    <s v="Valid"/>
    <s v="Outlier"/>
  </r>
  <r>
    <s v="USR-100413"/>
    <d v="2025-05-05T00:00:00"/>
    <x v="0"/>
    <x v="0"/>
    <x v="1"/>
    <x v="3"/>
    <x v="2"/>
    <n v="1"/>
    <n v="0"/>
    <n v="0"/>
    <n v="0"/>
    <n v="0"/>
    <n v="0"/>
    <n v="0"/>
    <m/>
    <n v="45.5"/>
    <s v="Unique"/>
    <s v="Valid"/>
    <s v="Valid"/>
    <s v="Valid"/>
    <s v="Valid"/>
    <s v="Valid"/>
    <s v="Outlier"/>
  </r>
  <r>
    <s v="USR-100414"/>
    <d v="2025-01-08T00:00:00"/>
    <x v="0"/>
    <x v="2"/>
    <x v="0"/>
    <x v="1"/>
    <x v="0"/>
    <n v="0"/>
    <n v="0"/>
    <n v="0"/>
    <n v="0"/>
    <n v="0"/>
    <n v="1"/>
    <n v="0"/>
    <m/>
    <n v="72.599999999999994"/>
    <s v="Unique"/>
    <s v="Valid"/>
    <s v="Valid"/>
    <s v="Valid"/>
    <s v="Valid"/>
    <s v="Valid"/>
    <s v="Outlier"/>
  </r>
  <r>
    <s v="USR-100415"/>
    <d v="2025-03-19T00:00:00"/>
    <x v="0"/>
    <x v="3"/>
    <x v="1"/>
    <x v="0"/>
    <x v="2"/>
    <n v="1"/>
    <n v="1"/>
    <n v="1"/>
    <n v="0"/>
    <n v="0"/>
    <n v="0"/>
    <n v="0"/>
    <m/>
    <n v="50.1"/>
    <s v="Unique"/>
    <s v="Valid"/>
    <s v="Valid"/>
    <s v="Valid"/>
    <s v="Valid"/>
    <s v="Valid"/>
    <s v="Outlier"/>
  </r>
  <r>
    <s v="USR-100416"/>
    <d v="2025-01-30T00:00:00"/>
    <x v="0"/>
    <x v="2"/>
    <x v="0"/>
    <x v="2"/>
    <x v="1"/>
    <n v="1"/>
    <n v="1"/>
    <n v="1"/>
    <n v="0"/>
    <n v="0"/>
    <n v="2"/>
    <n v="0"/>
    <m/>
    <n v="58.1"/>
    <s v="Unique"/>
    <s v="Valid"/>
    <s v="Valid"/>
    <s v="Valid"/>
    <s v="Valid"/>
    <s v="Valid"/>
    <s v="Outlier"/>
  </r>
  <r>
    <s v="USR-100417"/>
    <d v="2025-04-28T00:00:00"/>
    <x v="0"/>
    <x v="2"/>
    <x v="1"/>
    <x v="1"/>
    <x v="0"/>
    <n v="1"/>
    <n v="0"/>
    <n v="0"/>
    <n v="0"/>
    <n v="0"/>
    <n v="0"/>
    <n v="0"/>
    <m/>
    <n v="42.9"/>
    <s v="Unique"/>
    <s v="Valid"/>
    <s v="Valid"/>
    <s v="Valid"/>
    <s v="Valid"/>
    <s v="Valid"/>
    <s v="Outlier"/>
  </r>
  <r>
    <s v="USR-100418"/>
    <d v="2025-03-07T00:00:00"/>
    <x v="0"/>
    <x v="0"/>
    <x v="1"/>
    <x v="3"/>
    <x v="0"/>
    <n v="0"/>
    <n v="0"/>
    <n v="0"/>
    <n v="0"/>
    <n v="0"/>
    <n v="0"/>
    <n v="0"/>
    <m/>
    <n v="69.7"/>
    <s v="Unique"/>
    <s v="Valid"/>
    <s v="Valid"/>
    <s v="Valid"/>
    <s v="Valid"/>
    <s v="Valid"/>
    <s v="Outlier"/>
  </r>
  <r>
    <s v="USR-100419"/>
    <d v="2025-04-07T00:00:00"/>
    <x v="0"/>
    <x v="0"/>
    <x v="0"/>
    <x v="1"/>
    <x v="1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420"/>
    <d v="2025-05-08T00:00:00"/>
    <x v="0"/>
    <x v="0"/>
    <x v="0"/>
    <x v="1"/>
    <x v="2"/>
    <n v="1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421"/>
    <d v="2025-04-15T00:00:00"/>
    <x v="0"/>
    <x v="3"/>
    <x v="1"/>
    <x v="0"/>
    <x v="1"/>
    <n v="1"/>
    <n v="0"/>
    <n v="0"/>
    <n v="0"/>
    <n v="0"/>
    <n v="0"/>
    <n v="0"/>
    <m/>
    <n v="39.1"/>
    <s v="Unique"/>
    <s v="Valid"/>
    <s v="Valid"/>
    <s v="Valid"/>
    <s v="Valid"/>
    <s v="Valid"/>
    <s v="Outlier"/>
  </r>
  <r>
    <s v="USR-100422"/>
    <d v="2025-04-20T00:00:00"/>
    <x v="0"/>
    <x v="2"/>
    <x v="0"/>
    <x v="4"/>
    <x v="1"/>
    <n v="1"/>
    <n v="0"/>
    <n v="0"/>
    <n v="0"/>
    <n v="0"/>
    <n v="0"/>
    <n v="0"/>
    <m/>
    <n v="42.6"/>
    <s v="Unique"/>
    <s v="Valid"/>
    <s v="Valid"/>
    <s v="Valid"/>
    <s v="Valid"/>
    <s v="Valid"/>
    <s v="Outlier"/>
  </r>
  <r>
    <s v="USR-100423"/>
    <d v="2025-05-30T00:00:00"/>
    <x v="0"/>
    <x v="3"/>
    <x v="2"/>
    <x v="1"/>
    <x v="1"/>
    <n v="0"/>
    <n v="0"/>
    <n v="0"/>
    <n v="0"/>
    <n v="0"/>
    <n v="0"/>
    <n v="0"/>
    <m/>
    <n v="74.400000000000006"/>
    <s v="Unique"/>
    <s v="Valid"/>
    <s v="Valid"/>
    <s v="Valid"/>
    <s v="Valid"/>
    <s v="Valid"/>
    <s v="Outlier"/>
  </r>
  <r>
    <s v="USR-100424"/>
    <d v="2025-02-13T00:00:00"/>
    <x v="0"/>
    <x v="1"/>
    <x v="1"/>
    <x v="3"/>
    <x v="1"/>
    <n v="0"/>
    <n v="0"/>
    <n v="0"/>
    <n v="0"/>
    <n v="0"/>
    <n v="0"/>
    <n v="0"/>
    <m/>
    <n v="55.6"/>
    <s v="Unique"/>
    <s v="Valid"/>
    <s v="Valid"/>
    <s v="Valid"/>
    <s v="Valid"/>
    <s v="Valid"/>
    <s v="Outlier"/>
  </r>
  <r>
    <s v="USR-100425"/>
    <d v="2025-04-28T00:00:00"/>
    <x v="0"/>
    <x v="1"/>
    <x v="1"/>
    <x v="4"/>
    <x v="1"/>
    <n v="1"/>
    <n v="0"/>
    <n v="0"/>
    <n v="0"/>
    <n v="0"/>
    <n v="0"/>
    <n v="0"/>
    <m/>
    <n v="35.799999999999997"/>
    <s v="Unique"/>
    <s v="Valid"/>
    <s v="Valid"/>
    <s v="Valid"/>
    <s v="Valid"/>
    <s v="Valid"/>
    <s v="Outlier"/>
  </r>
  <r>
    <s v="USR-100426"/>
    <d v="2025-02-12T00:00:00"/>
    <x v="0"/>
    <x v="0"/>
    <x v="1"/>
    <x v="2"/>
    <x v="0"/>
    <n v="1"/>
    <n v="0"/>
    <n v="0"/>
    <n v="0"/>
    <n v="0"/>
    <n v="1"/>
    <n v="0"/>
    <m/>
    <n v="28.2"/>
    <s v="Unique"/>
    <s v="Valid"/>
    <s v="Valid"/>
    <s v="Valid"/>
    <s v="Valid"/>
    <s v="Valid"/>
    <s v="Outlier"/>
  </r>
  <r>
    <s v="USR-100427"/>
    <d v="2025-02-12T00:00:00"/>
    <x v="0"/>
    <x v="2"/>
    <x v="1"/>
    <x v="1"/>
    <x v="1"/>
    <n v="0"/>
    <n v="0"/>
    <n v="0"/>
    <n v="0"/>
    <n v="0"/>
    <n v="2"/>
    <n v="0"/>
    <m/>
    <n v="44.4"/>
    <s v="Unique"/>
    <s v="Valid"/>
    <s v="Valid"/>
    <s v="Valid"/>
    <s v="Valid"/>
    <s v="Valid"/>
    <s v="Outlier"/>
  </r>
  <r>
    <s v="USR-100428"/>
    <d v="2025-03-27T00:00:00"/>
    <x v="0"/>
    <x v="0"/>
    <x v="1"/>
    <x v="0"/>
    <x v="2"/>
    <n v="1"/>
    <n v="0"/>
    <n v="0"/>
    <n v="0"/>
    <n v="0"/>
    <n v="0"/>
    <n v="0"/>
    <m/>
    <n v="49.9"/>
    <s v="Unique"/>
    <s v="Valid"/>
    <s v="Valid"/>
    <s v="Valid"/>
    <s v="Valid"/>
    <s v="Valid"/>
    <s v="Outlier"/>
  </r>
  <r>
    <s v="USR-100429"/>
    <d v="2025-04-12T00:00:00"/>
    <x v="0"/>
    <x v="3"/>
    <x v="0"/>
    <x v="1"/>
    <x v="1"/>
    <n v="0"/>
    <n v="0"/>
    <n v="0"/>
    <n v="0"/>
    <n v="0"/>
    <n v="0"/>
    <n v="0"/>
    <m/>
    <n v="40.4"/>
    <s v="Unique"/>
    <s v="Valid"/>
    <s v="Valid"/>
    <s v="Valid"/>
    <s v="Valid"/>
    <s v="Valid"/>
    <s v="Outlier"/>
  </r>
  <r>
    <s v="USR-100430"/>
    <d v="2025-01-30T00:00:00"/>
    <x v="0"/>
    <x v="1"/>
    <x v="1"/>
    <x v="4"/>
    <x v="1"/>
    <n v="0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0431"/>
    <d v="2025-05-28T00:00:00"/>
    <x v="0"/>
    <x v="1"/>
    <x v="1"/>
    <x v="4"/>
    <x v="2"/>
    <n v="0"/>
    <n v="0"/>
    <n v="0"/>
    <n v="0"/>
    <n v="0"/>
    <n v="1"/>
    <n v="0"/>
    <m/>
    <n v="52.4"/>
    <s v="Unique"/>
    <s v="Valid"/>
    <s v="Valid"/>
    <s v="Valid"/>
    <s v="Valid"/>
    <s v="Valid"/>
    <s v="Outlier"/>
  </r>
  <r>
    <s v="USR-100432"/>
    <d v="2025-05-01T00:00:00"/>
    <x v="0"/>
    <x v="3"/>
    <x v="1"/>
    <x v="1"/>
    <x v="0"/>
    <n v="1"/>
    <n v="1"/>
    <n v="0"/>
    <n v="0"/>
    <n v="0"/>
    <n v="0"/>
    <n v="0"/>
    <m/>
    <n v="48.8"/>
    <s v="Unique"/>
    <s v="Valid"/>
    <s v="Valid"/>
    <s v="Valid"/>
    <s v="Valid"/>
    <s v="Valid"/>
    <s v="Outlier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s v="Unique"/>
    <s v="Valid"/>
    <s v="Valid"/>
    <s v="Valid"/>
    <s v="Valid"/>
    <s v="Valid"/>
    <s v="Outlier"/>
  </r>
  <r>
    <s v="USR-100434"/>
    <d v="2025-01-10T00:00:00"/>
    <x v="0"/>
    <x v="3"/>
    <x v="0"/>
    <x v="4"/>
    <x v="0"/>
    <n v="0"/>
    <n v="0"/>
    <n v="0"/>
    <n v="0"/>
    <n v="0"/>
    <n v="0"/>
    <n v="0"/>
    <m/>
    <n v="68.2"/>
    <s v="Unique"/>
    <s v="Valid"/>
    <s v="Valid"/>
    <s v="Valid"/>
    <s v="Valid"/>
    <s v="Valid"/>
    <s v="Outlier"/>
  </r>
  <r>
    <s v="USR-100435"/>
    <d v="2025-05-02T00:00:00"/>
    <x v="0"/>
    <x v="0"/>
    <x v="0"/>
    <x v="1"/>
    <x v="0"/>
    <n v="1"/>
    <n v="0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436"/>
    <d v="2025-05-26T00:00:00"/>
    <x v="0"/>
    <x v="0"/>
    <x v="0"/>
    <x v="1"/>
    <x v="0"/>
    <n v="1"/>
    <n v="0"/>
    <n v="0"/>
    <n v="0"/>
    <n v="0"/>
    <n v="0"/>
    <n v="0"/>
    <m/>
    <n v="65.400000000000006"/>
    <s v="Unique"/>
    <s v="Valid"/>
    <s v="Valid"/>
    <s v="Valid"/>
    <s v="Valid"/>
    <s v="Valid"/>
    <s v="Outlier"/>
  </r>
  <r>
    <s v="USR-100437"/>
    <d v="2025-01-12T00:00:00"/>
    <x v="0"/>
    <x v="1"/>
    <x v="1"/>
    <x v="1"/>
    <x v="0"/>
    <n v="1"/>
    <n v="0"/>
    <n v="0"/>
    <n v="0"/>
    <n v="0"/>
    <n v="0"/>
    <n v="0"/>
    <m/>
    <n v="78.900000000000006"/>
    <s v="Unique"/>
    <s v="Valid"/>
    <s v="Valid"/>
    <s v="Valid"/>
    <s v="Valid"/>
    <s v="Valid"/>
    <s v="Outlier"/>
  </r>
  <r>
    <s v="USR-100438"/>
    <d v="2025-05-27T00:00:00"/>
    <x v="0"/>
    <x v="2"/>
    <x v="1"/>
    <x v="2"/>
    <x v="0"/>
    <n v="1"/>
    <n v="1"/>
    <n v="1"/>
    <n v="0"/>
    <n v="0"/>
    <n v="0"/>
    <n v="0"/>
    <m/>
    <n v="78.3"/>
    <s v="Unique"/>
    <s v="Valid"/>
    <s v="Valid"/>
    <s v="Valid"/>
    <s v="Valid"/>
    <s v="Valid"/>
    <s v="Outlier"/>
  </r>
  <r>
    <s v="USR-100439"/>
    <d v="2025-05-22T00:00:00"/>
    <x v="0"/>
    <x v="1"/>
    <x v="0"/>
    <x v="0"/>
    <x v="0"/>
    <n v="0"/>
    <n v="0"/>
    <n v="0"/>
    <n v="0"/>
    <n v="0"/>
    <n v="0"/>
    <n v="0"/>
    <m/>
    <n v="49.2"/>
    <s v="Unique"/>
    <s v="Valid"/>
    <s v="Valid"/>
    <s v="Valid"/>
    <s v="Valid"/>
    <s v="Valid"/>
    <s v="Outlier"/>
  </r>
  <r>
    <s v="USR-100440"/>
    <d v="2025-04-01T00:00:00"/>
    <x v="0"/>
    <x v="2"/>
    <x v="1"/>
    <x v="4"/>
    <x v="2"/>
    <n v="1"/>
    <n v="1"/>
    <n v="1"/>
    <n v="1"/>
    <n v="1518.83"/>
    <n v="0"/>
    <n v="0"/>
    <n v="9"/>
    <n v="32.200000000000003"/>
    <s v="Unique"/>
    <s v="Valid"/>
    <s v="Valid"/>
    <s v="Valid"/>
    <s v="Valid"/>
    <s v="Valid"/>
    <s v="Outlier"/>
  </r>
  <r>
    <s v="USR-100441"/>
    <d v="2025-01-22T00:00:00"/>
    <x v="0"/>
    <x v="0"/>
    <x v="1"/>
    <x v="2"/>
    <x v="0"/>
    <n v="1"/>
    <n v="1"/>
    <n v="1"/>
    <n v="0"/>
    <n v="0"/>
    <n v="0"/>
    <n v="0"/>
    <m/>
    <n v="46.3"/>
    <s v="Unique"/>
    <s v="Valid"/>
    <s v="Valid"/>
    <s v="Valid"/>
    <s v="Valid"/>
    <s v="Valid"/>
    <s v="Outlier"/>
  </r>
  <r>
    <s v="USR-100442"/>
    <d v="2025-05-24T00:00:00"/>
    <x v="0"/>
    <x v="2"/>
    <x v="1"/>
    <x v="2"/>
    <x v="0"/>
    <n v="1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443"/>
    <d v="2025-04-25T00:00:00"/>
    <x v="0"/>
    <x v="3"/>
    <x v="1"/>
    <x v="4"/>
    <x v="1"/>
    <n v="1"/>
    <n v="0"/>
    <n v="0"/>
    <n v="0"/>
    <n v="0"/>
    <n v="0"/>
    <n v="0"/>
    <m/>
    <n v="44.5"/>
    <s v="Unique"/>
    <s v="Valid"/>
    <s v="Valid"/>
    <s v="Valid"/>
    <s v="Valid"/>
    <s v="Valid"/>
    <s v="Outlier"/>
  </r>
  <r>
    <s v="USR-100444"/>
    <d v="2025-04-12T00:00:00"/>
    <x v="0"/>
    <x v="1"/>
    <x v="0"/>
    <x v="3"/>
    <x v="1"/>
    <n v="1"/>
    <n v="1"/>
    <n v="1"/>
    <n v="0"/>
    <n v="0"/>
    <n v="1"/>
    <n v="0"/>
    <m/>
    <n v="47.9"/>
    <s v="Unique"/>
    <s v="Valid"/>
    <s v="Valid"/>
    <s v="Valid"/>
    <s v="Valid"/>
    <s v="Valid"/>
    <s v="Outlier"/>
  </r>
  <r>
    <s v="USR-100445"/>
    <d v="2025-04-23T00:00:00"/>
    <x v="0"/>
    <x v="3"/>
    <x v="1"/>
    <x v="1"/>
    <x v="2"/>
    <n v="1"/>
    <n v="0"/>
    <n v="0"/>
    <n v="0"/>
    <n v="0"/>
    <n v="0"/>
    <n v="0"/>
    <m/>
    <n v="43.9"/>
    <s v="Unique"/>
    <s v="Valid"/>
    <s v="Valid"/>
    <s v="Valid"/>
    <s v="Valid"/>
    <s v="Valid"/>
    <s v="Outlier"/>
  </r>
  <r>
    <s v="USR-100446"/>
    <d v="2025-03-30T00:00:00"/>
    <x v="0"/>
    <x v="0"/>
    <x v="0"/>
    <x v="3"/>
    <x v="1"/>
    <n v="1"/>
    <n v="1"/>
    <n v="1"/>
    <n v="0"/>
    <n v="0"/>
    <n v="1"/>
    <n v="0"/>
    <m/>
    <n v="67.7"/>
    <s v="Unique"/>
    <s v="Valid"/>
    <s v="Valid"/>
    <s v="Valid"/>
    <s v="Valid"/>
    <s v="Valid"/>
    <s v="Outlier"/>
  </r>
  <r>
    <s v="USR-100447"/>
    <d v="2025-01-18T00:00:00"/>
    <x v="0"/>
    <x v="2"/>
    <x v="1"/>
    <x v="3"/>
    <x v="0"/>
    <n v="0"/>
    <n v="0"/>
    <n v="0"/>
    <n v="0"/>
    <n v="0"/>
    <n v="0"/>
    <n v="0"/>
    <m/>
    <n v="43.7"/>
    <s v="Unique"/>
    <s v="Valid"/>
    <s v="Valid"/>
    <s v="Valid"/>
    <s v="Valid"/>
    <s v="Valid"/>
    <s v="Outlier"/>
  </r>
  <r>
    <s v="USR-100448"/>
    <d v="2025-04-09T00:00:00"/>
    <x v="0"/>
    <x v="2"/>
    <x v="1"/>
    <x v="1"/>
    <x v="1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0449"/>
    <d v="2025-01-11T00:00:00"/>
    <x v="0"/>
    <x v="1"/>
    <x v="1"/>
    <x v="1"/>
    <x v="1"/>
    <n v="1"/>
    <n v="1"/>
    <n v="1"/>
    <n v="0"/>
    <n v="0"/>
    <n v="0"/>
    <n v="0"/>
    <m/>
    <n v="59.2"/>
    <s v="Unique"/>
    <s v="Valid"/>
    <s v="Valid"/>
    <s v="Valid"/>
    <s v="Valid"/>
    <s v="Valid"/>
    <s v="Outlier"/>
  </r>
  <r>
    <s v="USR-100450"/>
    <d v="2025-03-05T00:00:00"/>
    <x v="0"/>
    <x v="2"/>
    <x v="1"/>
    <x v="2"/>
    <x v="1"/>
    <n v="1"/>
    <n v="0"/>
    <n v="0"/>
    <n v="0"/>
    <n v="0"/>
    <n v="0"/>
    <n v="0"/>
    <m/>
    <n v="48.6"/>
    <s v="Unique"/>
    <s v="Valid"/>
    <s v="Valid"/>
    <s v="Valid"/>
    <s v="Valid"/>
    <s v="Valid"/>
    <s v="Outlier"/>
  </r>
  <r>
    <s v="USR-100451"/>
    <d v="2025-02-17T00:00:00"/>
    <x v="0"/>
    <x v="0"/>
    <x v="2"/>
    <x v="4"/>
    <x v="1"/>
    <n v="1"/>
    <n v="1"/>
    <n v="1"/>
    <n v="0"/>
    <n v="0"/>
    <n v="0"/>
    <n v="0"/>
    <m/>
    <n v="56.9"/>
    <s v="Unique"/>
    <s v="Valid"/>
    <s v="Valid"/>
    <s v="Valid"/>
    <s v="Valid"/>
    <s v="Valid"/>
    <s v="Outlier"/>
  </r>
  <r>
    <s v="USR-100452"/>
    <d v="2025-05-07T00:00:00"/>
    <x v="0"/>
    <x v="0"/>
    <x v="0"/>
    <x v="2"/>
    <x v="1"/>
    <n v="0"/>
    <n v="0"/>
    <n v="0"/>
    <n v="0"/>
    <n v="0"/>
    <n v="0"/>
    <n v="0"/>
    <m/>
    <n v="55.8"/>
    <s v="Unique"/>
    <s v="Valid"/>
    <s v="Valid"/>
    <s v="Valid"/>
    <s v="Valid"/>
    <s v="Valid"/>
    <s v="Outlier"/>
  </r>
  <r>
    <s v="USR-100453"/>
    <d v="2025-04-10T00:00:00"/>
    <x v="0"/>
    <x v="2"/>
    <x v="1"/>
    <x v="2"/>
    <x v="2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454"/>
    <d v="2025-04-21T00:00:00"/>
    <x v="0"/>
    <x v="0"/>
    <x v="1"/>
    <x v="4"/>
    <x v="1"/>
    <n v="1"/>
    <n v="0"/>
    <n v="0"/>
    <n v="0"/>
    <n v="0"/>
    <n v="0"/>
    <n v="0"/>
    <m/>
    <n v="52.2"/>
    <s v="Unique"/>
    <s v="Valid"/>
    <s v="Valid"/>
    <s v="Valid"/>
    <s v="Valid"/>
    <s v="Valid"/>
    <s v="Outlier"/>
  </r>
  <r>
    <s v="USR-100455"/>
    <d v="2025-02-25T00:00:00"/>
    <x v="0"/>
    <x v="3"/>
    <x v="2"/>
    <x v="5"/>
    <x v="1"/>
    <n v="0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456"/>
    <d v="2025-05-14T00:00:00"/>
    <x v="0"/>
    <x v="2"/>
    <x v="0"/>
    <x v="1"/>
    <x v="1"/>
    <n v="0"/>
    <n v="0"/>
    <n v="0"/>
    <n v="0"/>
    <n v="0"/>
    <n v="0"/>
    <n v="0"/>
    <m/>
    <n v="50.3"/>
    <s v="Unique"/>
    <s v="Valid"/>
    <s v="Valid"/>
    <s v="Valid"/>
    <s v="Valid"/>
    <s v="Valid"/>
    <s v="Outlier"/>
  </r>
  <r>
    <s v="USR-100457"/>
    <d v="2025-03-10T00:00:00"/>
    <x v="0"/>
    <x v="0"/>
    <x v="1"/>
    <x v="0"/>
    <x v="0"/>
    <n v="1"/>
    <n v="0"/>
    <n v="0"/>
    <n v="0"/>
    <n v="0"/>
    <n v="1"/>
    <n v="0"/>
    <m/>
    <n v="35.4"/>
    <s v="Unique"/>
    <s v="Valid"/>
    <s v="Valid"/>
    <s v="Valid"/>
    <s v="Valid"/>
    <s v="Valid"/>
    <s v="Outlier"/>
  </r>
  <r>
    <s v="USR-100458"/>
    <d v="2025-01-31T00:00:00"/>
    <x v="0"/>
    <x v="1"/>
    <x v="0"/>
    <x v="1"/>
    <x v="2"/>
    <n v="1"/>
    <n v="0"/>
    <n v="0"/>
    <n v="0"/>
    <n v="0"/>
    <n v="1"/>
    <n v="0"/>
    <m/>
    <n v="54.1"/>
    <s v="Unique"/>
    <s v="Valid"/>
    <s v="Valid"/>
    <s v="Valid"/>
    <s v="Valid"/>
    <s v="Valid"/>
    <s v="Outlier"/>
  </r>
  <r>
    <s v="USR-100459"/>
    <d v="2025-01-17T00:00:00"/>
    <x v="0"/>
    <x v="3"/>
    <x v="1"/>
    <x v="1"/>
    <x v="2"/>
    <n v="1"/>
    <n v="0"/>
    <n v="0"/>
    <n v="0"/>
    <n v="0"/>
    <n v="0"/>
    <n v="0"/>
    <m/>
    <n v="56.2"/>
    <s v="Unique"/>
    <s v="Valid"/>
    <s v="Valid"/>
    <s v="Valid"/>
    <s v="Valid"/>
    <s v="Valid"/>
    <s v="Outlier"/>
  </r>
  <r>
    <s v="USR-100460"/>
    <d v="2025-03-12T00:00:00"/>
    <x v="0"/>
    <x v="3"/>
    <x v="1"/>
    <x v="2"/>
    <x v="1"/>
    <n v="0"/>
    <n v="0"/>
    <n v="0"/>
    <n v="0"/>
    <n v="0"/>
    <n v="3"/>
    <n v="0"/>
    <m/>
    <n v="43.7"/>
    <s v="Unique"/>
    <s v="Valid"/>
    <s v="Valid"/>
    <s v="Valid"/>
    <s v="Valid"/>
    <s v="Valid"/>
    <s v="Outlier"/>
  </r>
  <r>
    <s v="USR-100461"/>
    <d v="2025-02-28T00:00:00"/>
    <x v="0"/>
    <x v="1"/>
    <x v="0"/>
    <x v="1"/>
    <x v="2"/>
    <n v="1"/>
    <n v="1"/>
    <n v="0"/>
    <n v="0"/>
    <n v="0"/>
    <n v="0"/>
    <n v="0"/>
    <m/>
    <n v="51.3"/>
    <s v="Unique"/>
    <s v="Valid"/>
    <s v="Valid"/>
    <s v="Valid"/>
    <s v="Valid"/>
    <s v="Valid"/>
    <s v="Outlier"/>
  </r>
  <r>
    <s v="USR-100462"/>
    <d v="2025-05-19T00:00:00"/>
    <x v="0"/>
    <x v="0"/>
    <x v="3"/>
    <x v="1"/>
    <x v="0"/>
    <n v="1"/>
    <n v="0"/>
    <n v="0"/>
    <n v="0"/>
    <n v="0"/>
    <n v="0"/>
    <n v="0"/>
    <m/>
    <n v="50.5"/>
    <s v="Unique"/>
    <s v="Valid"/>
    <s v="Valid"/>
    <s v="Valid"/>
    <s v="Valid"/>
    <s v="Valid"/>
    <s v="Outlier"/>
  </r>
  <r>
    <s v="USR-100463"/>
    <d v="2025-02-23T00:00:00"/>
    <x v="0"/>
    <x v="0"/>
    <x v="1"/>
    <x v="3"/>
    <x v="0"/>
    <n v="1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0464"/>
    <d v="2025-02-20T00:00:00"/>
    <x v="0"/>
    <x v="1"/>
    <x v="0"/>
    <x v="1"/>
    <x v="1"/>
    <n v="1"/>
    <n v="1"/>
    <n v="1"/>
    <n v="0"/>
    <n v="0"/>
    <n v="0"/>
    <n v="0"/>
    <m/>
    <n v="58.4"/>
    <s v="Unique"/>
    <s v="Valid"/>
    <s v="Valid"/>
    <s v="Valid"/>
    <s v="Valid"/>
    <s v="Valid"/>
    <s v="Outlier"/>
  </r>
  <r>
    <s v="USR-100465"/>
    <d v="2025-04-12T00:00:00"/>
    <x v="0"/>
    <x v="0"/>
    <x v="1"/>
    <x v="5"/>
    <x v="1"/>
    <n v="0"/>
    <n v="0"/>
    <n v="0"/>
    <n v="0"/>
    <n v="0"/>
    <n v="0"/>
    <n v="0"/>
    <m/>
    <n v="56.5"/>
    <s v="Unique"/>
    <s v="Valid"/>
    <s v="Valid"/>
    <s v="Valid"/>
    <s v="Valid"/>
    <s v="Valid"/>
    <s v="Outlier"/>
  </r>
  <r>
    <s v="USR-100466"/>
    <d v="2025-01-08T00:00:00"/>
    <x v="0"/>
    <x v="1"/>
    <x v="1"/>
    <x v="0"/>
    <x v="1"/>
    <n v="0"/>
    <n v="0"/>
    <n v="0"/>
    <n v="0"/>
    <n v="0"/>
    <n v="0"/>
    <n v="0"/>
    <m/>
    <n v="69.599999999999994"/>
    <s v="Unique"/>
    <s v="Valid"/>
    <s v="Valid"/>
    <s v="Valid"/>
    <s v="Valid"/>
    <s v="Valid"/>
    <s v="Outlier"/>
  </r>
  <r>
    <s v="USR-100467"/>
    <d v="2025-02-13T00:00:00"/>
    <x v="0"/>
    <x v="1"/>
    <x v="1"/>
    <x v="1"/>
    <x v="0"/>
    <n v="0"/>
    <n v="0"/>
    <n v="0"/>
    <n v="0"/>
    <n v="0"/>
    <n v="0"/>
    <n v="0"/>
    <m/>
    <n v="6.2"/>
    <s v="Unique"/>
    <s v="Valid"/>
    <s v="Valid"/>
    <s v="Valid"/>
    <s v="Valid"/>
    <s v="Valid"/>
    <s v="Outlier"/>
  </r>
  <r>
    <s v="USR-100468"/>
    <d v="2025-05-21T00:00:00"/>
    <x v="0"/>
    <x v="2"/>
    <x v="0"/>
    <x v="0"/>
    <x v="1"/>
    <n v="1"/>
    <n v="1"/>
    <n v="1"/>
    <n v="0"/>
    <n v="0"/>
    <n v="0"/>
    <n v="0"/>
    <m/>
    <n v="54.3"/>
    <s v="Unique"/>
    <s v="Valid"/>
    <s v="Valid"/>
    <s v="Valid"/>
    <s v="Valid"/>
    <s v="Valid"/>
    <s v="Outlier"/>
  </r>
  <r>
    <s v="USR-100469"/>
    <d v="2025-05-30T00:00:00"/>
    <x v="0"/>
    <x v="0"/>
    <x v="1"/>
    <x v="1"/>
    <x v="0"/>
    <n v="0"/>
    <n v="0"/>
    <n v="0"/>
    <n v="0"/>
    <n v="0"/>
    <n v="0"/>
    <n v="0"/>
    <m/>
    <n v="59.8"/>
    <s v="Unique"/>
    <s v="Valid"/>
    <s v="Valid"/>
    <s v="Valid"/>
    <s v="Valid"/>
    <s v="Valid"/>
    <s v="Outlier"/>
  </r>
  <r>
    <s v="USR-100470"/>
    <d v="2025-05-20T00:00:00"/>
    <x v="0"/>
    <x v="1"/>
    <x v="1"/>
    <x v="2"/>
    <x v="1"/>
    <n v="0"/>
    <n v="0"/>
    <n v="0"/>
    <n v="0"/>
    <n v="0"/>
    <n v="0"/>
    <n v="0"/>
    <m/>
    <n v="58.9"/>
    <s v="Unique"/>
    <s v="Valid"/>
    <s v="Valid"/>
    <s v="Valid"/>
    <s v="Valid"/>
    <s v="Valid"/>
    <s v="Outlier"/>
  </r>
  <r>
    <s v="USR-100471"/>
    <d v="2025-01-09T00:00:00"/>
    <x v="0"/>
    <x v="2"/>
    <x v="0"/>
    <x v="1"/>
    <x v="1"/>
    <n v="0"/>
    <n v="0"/>
    <n v="0"/>
    <n v="0"/>
    <n v="0"/>
    <n v="1"/>
    <n v="0"/>
    <m/>
    <n v="52.9"/>
    <s v="Unique"/>
    <s v="Valid"/>
    <s v="Valid"/>
    <s v="Valid"/>
    <s v="Valid"/>
    <s v="Valid"/>
    <s v="Outlier"/>
  </r>
  <r>
    <s v="USR-100472"/>
    <d v="2025-03-07T00:00:00"/>
    <x v="0"/>
    <x v="1"/>
    <x v="1"/>
    <x v="1"/>
    <x v="1"/>
    <n v="0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0473"/>
    <d v="2025-04-23T00:00:00"/>
    <x v="0"/>
    <x v="3"/>
    <x v="1"/>
    <x v="4"/>
    <x v="1"/>
    <n v="0"/>
    <n v="0"/>
    <n v="0"/>
    <n v="0"/>
    <n v="0"/>
    <n v="0"/>
    <n v="0"/>
    <m/>
    <n v="48.7"/>
    <s v="Unique"/>
    <s v="Valid"/>
    <s v="Valid"/>
    <s v="Valid"/>
    <s v="Valid"/>
    <s v="Valid"/>
    <s v="Outlier"/>
  </r>
  <r>
    <s v="USR-100474"/>
    <d v="2025-03-08T00:00:00"/>
    <x v="0"/>
    <x v="2"/>
    <x v="1"/>
    <x v="1"/>
    <x v="0"/>
    <n v="0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0475"/>
    <d v="2025-02-14T00:00:00"/>
    <x v="0"/>
    <x v="3"/>
    <x v="1"/>
    <x v="3"/>
    <x v="1"/>
    <n v="0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0476"/>
    <d v="2025-05-17T00:00:00"/>
    <x v="0"/>
    <x v="1"/>
    <x v="1"/>
    <x v="3"/>
    <x v="0"/>
    <n v="1"/>
    <n v="0"/>
    <n v="0"/>
    <n v="0"/>
    <n v="0"/>
    <n v="0"/>
    <n v="0"/>
    <m/>
    <n v="68.7"/>
    <s v="Unique"/>
    <s v="Valid"/>
    <s v="Valid"/>
    <s v="Valid"/>
    <s v="Valid"/>
    <s v="Valid"/>
    <s v="Outlier"/>
  </r>
  <r>
    <s v="USR-100477"/>
    <d v="2025-04-25T00:00:00"/>
    <x v="0"/>
    <x v="3"/>
    <x v="1"/>
    <x v="3"/>
    <x v="1"/>
    <n v="0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478"/>
    <d v="2025-03-04T00:00:00"/>
    <x v="0"/>
    <x v="3"/>
    <x v="0"/>
    <x v="4"/>
    <x v="0"/>
    <n v="0"/>
    <n v="0"/>
    <n v="0"/>
    <n v="0"/>
    <n v="0"/>
    <n v="0"/>
    <n v="0"/>
    <m/>
    <n v="56.5"/>
    <s v="Unique"/>
    <s v="Valid"/>
    <s v="Valid"/>
    <s v="Valid"/>
    <s v="Valid"/>
    <s v="Valid"/>
    <s v="Outlier"/>
  </r>
  <r>
    <s v="USR-100479"/>
    <d v="2025-03-18T00:00:00"/>
    <x v="0"/>
    <x v="3"/>
    <x v="1"/>
    <x v="1"/>
    <x v="1"/>
    <n v="1"/>
    <n v="0"/>
    <n v="0"/>
    <n v="0"/>
    <n v="0"/>
    <n v="0"/>
    <n v="0"/>
    <m/>
    <n v="64.400000000000006"/>
    <s v="Unique"/>
    <s v="Valid"/>
    <s v="Valid"/>
    <s v="Valid"/>
    <s v="Valid"/>
    <s v="Valid"/>
    <s v="Outlier"/>
  </r>
  <r>
    <s v="USR-100480"/>
    <d v="2025-01-30T00:00:00"/>
    <x v="0"/>
    <x v="1"/>
    <x v="1"/>
    <x v="2"/>
    <x v="2"/>
    <n v="1"/>
    <n v="0"/>
    <n v="0"/>
    <n v="0"/>
    <n v="0"/>
    <n v="0"/>
    <n v="0"/>
    <m/>
    <n v="65.900000000000006"/>
    <s v="Unique"/>
    <s v="Valid"/>
    <s v="Valid"/>
    <s v="Valid"/>
    <s v="Valid"/>
    <s v="Valid"/>
    <s v="Outlier"/>
  </r>
  <r>
    <s v="USR-100481"/>
    <d v="2025-05-20T00:00:00"/>
    <x v="0"/>
    <x v="1"/>
    <x v="2"/>
    <x v="3"/>
    <x v="1"/>
    <n v="1"/>
    <n v="1"/>
    <n v="1"/>
    <n v="0"/>
    <n v="0"/>
    <n v="0"/>
    <n v="0"/>
    <m/>
    <n v="100"/>
    <s v="Unique"/>
    <s v="Valid"/>
    <s v="Valid"/>
    <s v="Valid"/>
    <s v="Valid"/>
    <s v="Valid"/>
    <s v="Outlier"/>
  </r>
  <r>
    <s v="USR-100482"/>
    <d v="2025-02-13T00:00:00"/>
    <x v="0"/>
    <x v="0"/>
    <x v="3"/>
    <x v="1"/>
    <x v="0"/>
    <n v="1"/>
    <n v="1"/>
    <n v="1"/>
    <n v="0"/>
    <n v="0"/>
    <n v="0"/>
    <n v="0"/>
    <m/>
    <n v="50.4"/>
    <s v="Unique"/>
    <s v="Valid"/>
    <s v="Valid"/>
    <s v="Valid"/>
    <s v="Valid"/>
    <s v="Valid"/>
    <s v="Outlier"/>
  </r>
  <r>
    <s v="USR-100483"/>
    <d v="2025-04-12T00:00:00"/>
    <x v="0"/>
    <x v="1"/>
    <x v="0"/>
    <x v="1"/>
    <x v="0"/>
    <n v="0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0484"/>
    <d v="2025-04-07T00:00:00"/>
    <x v="0"/>
    <x v="0"/>
    <x v="1"/>
    <x v="0"/>
    <x v="1"/>
    <n v="0"/>
    <n v="0"/>
    <n v="0"/>
    <n v="0"/>
    <n v="0"/>
    <n v="0"/>
    <n v="0"/>
    <m/>
    <n v="86.2"/>
    <s v="Unique"/>
    <s v="Valid"/>
    <s v="Valid"/>
    <s v="Valid"/>
    <s v="Valid"/>
    <s v="Valid"/>
    <s v="Outlier"/>
  </r>
  <r>
    <s v="USR-100485"/>
    <d v="2025-03-12T00:00:00"/>
    <x v="0"/>
    <x v="0"/>
    <x v="0"/>
    <x v="4"/>
    <x v="1"/>
    <n v="1"/>
    <n v="1"/>
    <n v="1"/>
    <n v="0"/>
    <n v="0"/>
    <n v="2"/>
    <n v="0"/>
    <m/>
    <n v="50.8"/>
    <s v="Unique"/>
    <s v="Valid"/>
    <s v="Valid"/>
    <s v="Valid"/>
    <s v="Valid"/>
    <s v="Valid"/>
    <s v="Outlier"/>
  </r>
  <r>
    <s v="USR-100486"/>
    <d v="2025-02-07T00:00:00"/>
    <x v="0"/>
    <x v="1"/>
    <x v="1"/>
    <x v="1"/>
    <x v="1"/>
    <n v="1"/>
    <n v="0"/>
    <n v="0"/>
    <n v="0"/>
    <n v="0"/>
    <n v="0"/>
    <n v="0"/>
    <m/>
    <n v="50.9"/>
    <s v="Unique"/>
    <s v="Valid"/>
    <s v="Valid"/>
    <s v="Valid"/>
    <s v="Valid"/>
    <s v="Valid"/>
    <s v="Outlier"/>
  </r>
  <r>
    <s v="USR-100487"/>
    <d v="2025-05-05T00:00:00"/>
    <x v="0"/>
    <x v="0"/>
    <x v="1"/>
    <x v="1"/>
    <x v="2"/>
    <n v="1"/>
    <n v="1"/>
    <n v="0"/>
    <n v="0"/>
    <n v="0"/>
    <n v="0"/>
    <n v="0"/>
    <m/>
    <n v="87.5"/>
    <s v="Unique"/>
    <s v="Valid"/>
    <s v="Valid"/>
    <s v="Valid"/>
    <s v="Valid"/>
    <s v="Valid"/>
    <s v="Outlier"/>
  </r>
  <r>
    <s v="USR-100488"/>
    <d v="2025-03-18T00:00:00"/>
    <x v="0"/>
    <x v="3"/>
    <x v="1"/>
    <x v="3"/>
    <x v="1"/>
    <n v="0"/>
    <n v="0"/>
    <n v="0"/>
    <n v="0"/>
    <n v="0"/>
    <n v="0"/>
    <n v="0"/>
    <m/>
    <n v="43.6"/>
    <s v="Unique"/>
    <s v="Valid"/>
    <s v="Valid"/>
    <s v="Valid"/>
    <s v="Valid"/>
    <s v="Valid"/>
    <s v="Outlier"/>
  </r>
  <r>
    <s v="USR-100489"/>
    <d v="2025-01-05T00:00:00"/>
    <x v="0"/>
    <x v="3"/>
    <x v="1"/>
    <x v="2"/>
    <x v="0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0490"/>
    <d v="2025-05-10T00:00:00"/>
    <x v="0"/>
    <x v="3"/>
    <x v="0"/>
    <x v="3"/>
    <x v="0"/>
    <n v="0"/>
    <n v="0"/>
    <n v="0"/>
    <n v="0"/>
    <n v="0"/>
    <n v="0"/>
    <n v="0"/>
    <m/>
    <n v="78.599999999999994"/>
    <s v="Unique"/>
    <s v="Valid"/>
    <s v="Valid"/>
    <s v="Valid"/>
    <s v="Valid"/>
    <s v="Valid"/>
    <s v="Outlier"/>
  </r>
  <r>
    <s v="USR-100491"/>
    <d v="2025-01-03T00:00:00"/>
    <x v="0"/>
    <x v="3"/>
    <x v="1"/>
    <x v="4"/>
    <x v="0"/>
    <n v="1"/>
    <n v="1"/>
    <n v="0"/>
    <n v="0"/>
    <n v="0"/>
    <n v="1"/>
    <n v="0"/>
    <m/>
    <n v="44.3"/>
    <s v="Unique"/>
    <s v="Valid"/>
    <s v="Valid"/>
    <s v="Valid"/>
    <s v="Valid"/>
    <s v="Valid"/>
    <s v="Outlier"/>
  </r>
  <r>
    <s v="USR-100492"/>
    <d v="2025-05-08T00:00:00"/>
    <x v="0"/>
    <x v="3"/>
    <x v="1"/>
    <x v="2"/>
    <x v="1"/>
    <n v="1"/>
    <n v="1"/>
    <n v="0"/>
    <n v="0"/>
    <n v="0"/>
    <n v="0"/>
    <n v="0"/>
    <m/>
    <n v="45.2"/>
    <s v="Unique"/>
    <s v="Valid"/>
    <s v="Valid"/>
    <s v="Valid"/>
    <s v="Valid"/>
    <s v="Valid"/>
    <s v="Outlier"/>
  </r>
  <r>
    <s v="USR-100493"/>
    <d v="2025-03-05T00:00:00"/>
    <x v="0"/>
    <x v="3"/>
    <x v="0"/>
    <x v="0"/>
    <x v="0"/>
    <n v="1"/>
    <n v="0"/>
    <n v="0"/>
    <n v="0"/>
    <n v="0"/>
    <n v="2"/>
    <n v="0"/>
    <m/>
    <n v="46.1"/>
    <s v="Unique"/>
    <s v="Valid"/>
    <s v="Valid"/>
    <s v="Valid"/>
    <s v="Valid"/>
    <s v="Valid"/>
    <s v="Outlier"/>
  </r>
  <r>
    <s v="USR-100494"/>
    <d v="2025-02-17T00:00:00"/>
    <x v="0"/>
    <x v="0"/>
    <x v="1"/>
    <x v="1"/>
    <x v="2"/>
    <n v="1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0495"/>
    <d v="2025-01-09T00:00:00"/>
    <x v="0"/>
    <x v="3"/>
    <x v="1"/>
    <x v="3"/>
    <x v="0"/>
    <n v="0"/>
    <n v="0"/>
    <n v="0"/>
    <n v="0"/>
    <n v="0"/>
    <n v="0"/>
    <n v="0"/>
    <m/>
    <n v="70.5"/>
    <s v="Unique"/>
    <s v="Valid"/>
    <s v="Valid"/>
    <s v="Valid"/>
    <s v="Valid"/>
    <s v="Valid"/>
    <s v="Outlier"/>
  </r>
  <r>
    <s v="USR-100496"/>
    <d v="2025-05-05T00:00:00"/>
    <x v="0"/>
    <x v="3"/>
    <x v="1"/>
    <x v="0"/>
    <x v="0"/>
    <n v="0"/>
    <n v="0"/>
    <n v="0"/>
    <n v="0"/>
    <n v="0"/>
    <n v="1"/>
    <n v="0"/>
    <m/>
    <n v="60.8"/>
    <s v="Unique"/>
    <s v="Valid"/>
    <s v="Valid"/>
    <s v="Valid"/>
    <s v="Valid"/>
    <s v="Valid"/>
    <s v="Outlier"/>
  </r>
  <r>
    <s v="USR-100497"/>
    <d v="2025-04-16T00:00:00"/>
    <x v="0"/>
    <x v="2"/>
    <x v="1"/>
    <x v="0"/>
    <x v="0"/>
    <n v="0"/>
    <n v="0"/>
    <n v="0"/>
    <n v="0"/>
    <n v="0"/>
    <n v="1"/>
    <n v="0"/>
    <m/>
    <n v="50.5"/>
    <s v="Unique"/>
    <s v="Valid"/>
    <s v="Valid"/>
    <s v="Valid"/>
    <s v="Valid"/>
    <s v="Valid"/>
    <s v="Outlier"/>
  </r>
  <r>
    <s v="USR-100498"/>
    <d v="2025-03-02T00:00:00"/>
    <x v="0"/>
    <x v="3"/>
    <x v="0"/>
    <x v="1"/>
    <x v="1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0499"/>
    <d v="2025-04-14T00:00:00"/>
    <x v="0"/>
    <x v="3"/>
    <x v="1"/>
    <x v="4"/>
    <x v="2"/>
    <n v="0"/>
    <n v="0"/>
    <n v="0"/>
    <n v="0"/>
    <n v="0"/>
    <n v="0"/>
    <n v="0"/>
    <m/>
    <n v="29.9"/>
    <s v="Unique"/>
    <s v="Valid"/>
    <s v="Valid"/>
    <s v="Valid"/>
    <s v="Valid"/>
    <s v="Valid"/>
    <s v="Outlier"/>
  </r>
  <r>
    <s v="USR-100500"/>
    <d v="2025-02-15T00:00:00"/>
    <x v="0"/>
    <x v="2"/>
    <x v="0"/>
    <x v="2"/>
    <x v="0"/>
    <n v="0"/>
    <n v="0"/>
    <n v="0"/>
    <n v="0"/>
    <n v="0"/>
    <n v="0"/>
    <n v="0"/>
    <m/>
    <n v="48.3"/>
    <s v="Unique"/>
    <s v="Valid"/>
    <s v="Valid"/>
    <s v="Valid"/>
    <s v="Valid"/>
    <s v="Valid"/>
    <s v="Outlier"/>
  </r>
  <r>
    <s v="USR-100501"/>
    <d v="2025-02-13T00:00:00"/>
    <x v="0"/>
    <x v="1"/>
    <x v="1"/>
    <x v="4"/>
    <x v="1"/>
    <n v="1"/>
    <n v="1"/>
    <n v="1"/>
    <n v="1"/>
    <n v="513.61"/>
    <n v="0"/>
    <n v="0"/>
    <n v="7"/>
    <n v="41.3"/>
    <s v="Unique"/>
    <s v="Valid"/>
    <s v="Valid"/>
    <s v="Valid"/>
    <s v="Valid"/>
    <s v="Valid"/>
    <s v="Outlier"/>
  </r>
  <r>
    <s v="USR-100502"/>
    <d v="2025-03-06T00:00:00"/>
    <x v="0"/>
    <x v="0"/>
    <x v="1"/>
    <x v="0"/>
    <x v="1"/>
    <n v="0"/>
    <n v="0"/>
    <n v="0"/>
    <n v="0"/>
    <n v="0"/>
    <n v="0"/>
    <n v="0"/>
    <m/>
    <n v="61.4"/>
    <s v="Unique"/>
    <s v="Valid"/>
    <s v="Valid"/>
    <s v="Valid"/>
    <s v="Valid"/>
    <s v="Valid"/>
    <s v="Outlier"/>
  </r>
  <r>
    <s v="USR-100503"/>
    <d v="2025-02-18T00:00:00"/>
    <x v="0"/>
    <x v="3"/>
    <x v="0"/>
    <x v="4"/>
    <x v="1"/>
    <n v="0"/>
    <n v="0"/>
    <n v="0"/>
    <n v="0"/>
    <n v="0"/>
    <n v="0"/>
    <n v="0"/>
    <m/>
    <n v="57.8"/>
    <s v="Unique"/>
    <s v="Valid"/>
    <s v="Valid"/>
    <s v="Valid"/>
    <s v="Valid"/>
    <s v="Valid"/>
    <s v="Outlier"/>
  </r>
  <r>
    <s v="USR-100504"/>
    <d v="2025-04-07T00:00:00"/>
    <x v="0"/>
    <x v="0"/>
    <x v="0"/>
    <x v="1"/>
    <x v="1"/>
    <n v="0"/>
    <n v="0"/>
    <n v="0"/>
    <n v="0"/>
    <n v="0"/>
    <n v="0"/>
    <n v="0"/>
    <m/>
    <n v="78.2"/>
    <s v="Unique"/>
    <s v="Valid"/>
    <s v="Valid"/>
    <s v="Valid"/>
    <s v="Valid"/>
    <s v="Valid"/>
    <s v="Outlier"/>
  </r>
  <r>
    <s v="USR-100505"/>
    <d v="2025-04-06T00:00:00"/>
    <x v="0"/>
    <x v="0"/>
    <x v="1"/>
    <x v="3"/>
    <x v="1"/>
    <n v="0"/>
    <n v="0"/>
    <n v="0"/>
    <n v="0"/>
    <n v="0"/>
    <n v="0"/>
    <n v="0"/>
    <m/>
    <n v="63.8"/>
    <s v="Unique"/>
    <s v="Valid"/>
    <s v="Valid"/>
    <s v="Valid"/>
    <s v="Valid"/>
    <s v="Valid"/>
    <s v="Outlier"/>
  </r>
  <r>
    <s v="USR-100506"/>
    <d v="2025-01-30T00:00:00"/>
    <x v="0"/>
    <x v="0"/>
    <x v="0"/>
    <x v="4"/>
    <x v="1"/>
    <n v="1"/>
    <n v="0"/>
    <n v="0"/>
    <n v="0"/>
    <n v="0"/>
    <n v="0"/>
    <n v="0"/>
    <m/>
    <n v="56.8"/>
    <s v="Unique"/>
    <s v="Valid"/>
    <s v="Valid"/>
    <s v="Valid"/>
    <s v="Valid"/>
    <s v="Valid"/>
    <s v="Outlier"/>
  </r>
  <r>
    <s v="USR-100507"/>
    <d v="2025-05-13T00:00:00"/>
    <x v="0"/>
    <x v="3"/>
    <x v="0"/>
    <x v="1"/>
    <x v="0"/>
    <n v="1"/>
    <n v="1"/>
    <n v="0"/>
    <n v="0"/>
    <n v="0"/>
    <n v="0"/>
    <n v="0"/>
    <m/>
    <n v="59.6"/>
    <s v="Unique"/>
    <s v="Valid"/>
    <s v="Valid"/>
    <s v="Valid"/>
    <s v="Valid"/>
    <s v="Valid"/>
    <s v="Outlier"/>
  </r>
  <r>
    <s v="USR-100508"/>
    <d v="2025-01-20T00:00:00"/>
    <x v="0"/>
    <x v="1"/>
    <x v="1"/>
    <x v="2"/>
    <x v="2"/>
    <n v="1"/>
    <n v="1"/>
    <n v="0"/>
    <n v="0"/>
    <n v="0"/>
    <n v="0"/>
    <n v="0"/>
    <m/>
    <n v="50"/>
    <s v="Unique"/>
    <s v="Valid"/>
    <s v="Valid"/>
    <s v="Valid"/>
    <s v="Valid"/>
    <s v="Valid"/>
    <s v="Outlier"/>
  </r>
  <r>
    <s v="USR-100509"/>
    <d v="2025-01-30T00:00:00"/>
    <x v="0"/>
    <x v="0"/>
    <x v="2"/>
    <x v="1"/>
    <x v="1"/>
    <n v="1"/>
    <n v="0"/>
    <n v="0"/>
    <n v="0"/>
    <n v="0"/>
    <n v="0"/>
    <n v="0"/>
    <m/>
    <n v="35.700000000000003"/>
    <s v="Unique"/>
    <s v="Valid"/>
    <s v="Valid"/>
    <s v="Valid"/>
    <s v="Valid"/>
    <s v="Valid"/>
    <s v="Outlier"/>
  </r>
  <r>
    <s v="USR-100510"/>
    <d v="2025-01-13T00:00:00"/>
    <x v="0"/>
    <x v="3"/>
    <x v="1"/>
    <x v="1"/>
    <x v="1"/>
    <n v="0"/>
    <n v="0"/>
    <n v="0"/>
    <n v="0"/>
    <n v="0"/>
    <n v="2"/>
    <n v="0"/>
    <m/>
    <n v="47.2"/>
    <s v="Unique"/>
    <s v="Valid"/>
    <s v="Valid"/>
    <s v="Valid"/>
    <s v="Valid"/>
    <s v="Valid"/>
    <s v="Outlier"/>
  </r>
  <r>
    <s v="USR-100511"/>
    <d v="2025-02-11T00:00:00"/>
    <x v="0"/>
    <x v="0"/>
    <x v="1"/>
    <x v="4"/>
    <x v="1"/>
    <n v="1"/>
    <n v="1"/>
    <n v="0"/>
    <n v="0"/>
    <n v="0"/>
    <n v="0"/>
    <n v="0"/>
    <m/>
    <n v="56.9"/>
    <s v="Unique"/>
    <s v="Valid"/>
    <s v="Valid"/>
    <s v="Valid"/>
    <s v="Valid"/>
    <s v="Valid"/>
    <s v="Outlier"/>
  </r>
  <r>
    <s v="USR-100512"/>
    <d v="2025-04-15T00:00:00"/>
    <x v="0"/>
    <x v="3"/>
    <x v="1"/>
    <x v="1"/>
    <x v="1"/>
    <n v="0"/>
    <n v="0"/>
    <n v="0"/>
    <n v="0"/>
    <n v="0"/>
    <n v="1"/>
    <n v="0"/>
    <m/>
    <n v="57.2"/>
    <s v="Unique"/>
    <s v="Valid"/>
    <s v="Valid"/>
    <s v="Valid"/>
    <s v="Valid"/>
    <s v="Valid"/>
    <s v="Outlier"/>
  </r>
  <r>
    <s v="USR-100513"/>
    <d v="2025-02-13T00:00:00"/>
    <x v="0"/>
    <x v="3"/>
    <x v="1"/>
    <x v="5"/>
    <x v="1"/>
    <n v="1"/>
    <n v="1"/>
    <n v="0"/>
    <n v="0"/>
    <n v="0"/>
    <n v="0"/>
    <n v="0"/>
    <m/>
    <n v="31.4"/>
    <s v="Unique"/>
    <s v="Valid"/>
    <s v="Valid"/>
    <s v="Valid"/>
    <s v="Valid"/>
    <s v="Valid"/>
    <s v="Outlier"/>
  </r>
  <r>
    <s v="USR-100514"/>
    <d v="2025-05-09T00:00:00"/>
    <x v="0"/>
    <x v="3"/>
    <x v="0"/>
    <x v="1"/>
    <x v="1"/>
    <n v="0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515"/>
    <d v="2025-03-10T00:00:00"/>
    <x v="0"/>
    <x v="0"/>
    <x v="1"/>
    <x v="2"/>
    <x v="1"/>
    <n v="1"/>
    <n v="1"/>
    <n v="1"/>
    <n v="0"/>
    <n v="0"/>
    <n v="1"/>
    <n v="0"/>
    <m/>
    <n v="38.299999999999997"/>
    <s v="Unique"/>
    <s v="Valid"/>
    <s v="Valid"/>
    <s v="Valid"/>
    <s v="Valid"/>
    <s v="Valid"/>
    <s v="Outlier"/>
  </r>
  <r>
    <s v="USR-100516"/>
    <d v="2025-04-01T00:00:00"/>
    <x v="0"/>
    <x v="0"/>
    <x v="1"/>
    <x v="1"/>
    <x v="1"/>
    <n v="1"/>
    <n v="1"/>
    <n v="0"/>
    <n v="0"/>
    <n v="0"/>
    <n v="0"/>
    <n v="0"/>
    <m/>
    <n v="63.1"/>
    <s v="Unique"/>
    <s v="Valid"/>
    <s v="Valid"/>
    <s v="Valid"/>
    <s v="Valid"/>
    <s v="Valid"/>
    <s v="Outlier"/>
  </r>
  <r>
    <s v="USR-100517"/>
    <d v="2025-05-15T00:00:00"/>
    <x v="0"/>
    <x v="2"/>
    <x v="1"/>
    <x v="3"/>
    <x v="0"/>
    <n v="1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0518"/>
    <d v="2025-05-04T00:00:00"/>
    <x v="0"/>
    <x v="3"/>
    <x v="0"/>
    <x v="4"/>
    <x v="2"/>
    <n v="1"/>
    <n v="1"/>
    <n v="1"/>
    <n v="0"/>
    <n v="0"/>
    <n v="0"/>
    <n v="0"/>
    <m/>
    <n v="59.5"/>
    <s v="Unique"/>
    <s v="Valid"/>
    <s v="Valid"/>
    <s v="Valid"/>
    <s v="Valid"/>
    <s v="Valid"/>
    <s v="Outlier"/>
  </r>
  <r>
    <s v="USR-100519"/>
    <d v="2025-05-20T00:00:00"/>
    <x v="0"/>
    <x v="2"/>
    <x v="1"/>
    <x v="2"/>
    <x v="1"/>
    <n v="0"/>
    <n v="0"/>
    <n v="0"/>
    <n v="0"/>
    <n v="0"/>
    <n v="0"/>
    <n v="0"/>
    <m/>
    <n v="78.8"/>
    <s v="Unique"/>
    <s v="Valid"/>
    <s v="Valid"/>
    <s v="Valid"/>
    <s v="Valid"/>
    <s v="Valid"/>
    <s v="Outlier"/>
  </r>
  <r>
    <s v="USR-100520"/>
    <d v="2025-05-16T00:00:00"/>
    <x v="0"/>
    <x v="1"/>
    <x v="0"/>
    <x v="3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521"/>
    <d v="2025-03-17T00:00:00"/>
    <x v="0"/>
    <x v="1"/>
    <x v="1"/>
    <x v="1"/>
    <x v="1"/>
    <n v="1"/>
    <n v="0"/>
    <n v="0"/>
    <n v="0"/>
    <n v="0"/>
    <n v="0"/>
    <n v="0"/>
    <m/>
    <n v="66.3"/>
    <s v="Unique"/>
    <s v="Valid"/>
    <s v="Valid"/>
    <s v="Valid"/>
    <s v="Valid"/>
    <s v="Valid"/>
    <s v="Outlier"/>
  </r>
  <r>
    <s v="USR-100522"/>
    <d v="2025-01-27T00:00:00"/>
    <x v="0"/>
    <x v="2"/>
    <x v="2"/>
    <x v="2"/>
    <x v="1"/>
    <n v="1"/>
    <n v="1"/>
    <n v="0"/>
    <n v="0"/>
    <n v="0"/>
    <n v="0"/>
    <n v="0"/>
    <m/>
    <n v="54.7"/>
    <s v="Unique"/>
    <s v="Valid"/>
    <s v="Valid"/>
    <s v="Valid"/>
    <s v="Valid"/>
    <s v="Valid"/>
    <s v="Outlier"/>
  </r>
  <r>
    <s v="USR-100523"/>
    <d v="2025-04-13T00:00:00"/>
    <x v="0"/>
    <x v="3"/>
    <x v="1"/>
    <x v="1"/>
    <x v="0"/>
    <n v="1"/>
    <n v="0"/>
    <n v="0"/>
    <n v="0"/>
    <n v="0"/>
    <n v="0"/>
    <n v="0"/>
    <m/>
    <n v="76.7"/>
    <s v="Unique"/>
    <s v="Valid"/>
    <s v="Valid"/>
    <s v="Valid"/>
    <s v="Valid"/>
    <s v="Valid"/>
    <s v="Outlier"/>
  </r>
  <r>
    <s v="USR-100524"/>
    <d v="2025-05-03T00:00:00"/>
    <x v="0"/>
    <x v="3"/>
    <x v="0"/>
    <x v="0"/>
    <x v="0"/>
    <n v="1"/>
    <n v="0"/>
    <n v="0"/>
    <n v="0"/>
    <n v="0"/>
    <n v="2"/>
    <n v="0"/>
    <m/>
    <n v="47.4"/>
    <s v="Unique"/>
    <s v="Valid"/>
    <s v="Valid"/>
    <s v="Valid"/>
    <s v="Valid"/>
    <s v="Valid"/>
    <s v="Outlier"/>
  </r>
  <r>
    <s v="USR-100525"/>
    <d v="2025-03-30T00:00:00"/>
    <x v="0"/>
    <x v="0"/>
    <x v="1"/>
    <x v="1"/>
    <x v="1"/>
    <n v="1"/>
    <n v="1"/>
    <n v="1"/>
    <n v="0"/>
    <n v="0"/>
    <n v="0"/>
    <n v="0"/>
    <m/>
    <n v="81.7"/>
    <s v="Unique"/>
    <s v="Valid"/>
    <s v="Valid"/>
    <s v="Valid"/>
    <s v="Valid"/>
    <s v="Valid"/>
    <s v="Outlier"/>
  </r>
  <r>
    <s v="USR-100526"/>
    <d v="2025-01-01T00:00:00"/>
    <x v="0"/>
    <x v="1"/>
    <x v="1"/>
    <x v="2"/>
    <x v="0"/>
    <n v="1"/>
    <n v="1"/>
    <n v="1"/>
    <n v="0"/>
    <n v="0"/>
    <n v="0"/>
    <n v="0"/>
    <m/>
    <n v="67.5"/>
    <s v="Unique"/>
    <s v="Valid"/>
    <s v="Valid"/>
    <s v="Valid"/>
    <s v="Valid"/>
    <s v="Valid"/>
    <s v="Outlier"/>
  </r>
  <r>
    <s v="USR-100527"/>
    <d v="2025-02-06T00:00:00"/>
    <x v="0"/>
    <x v="1"/>
    <x v="1"/>
    <x v="2"/>
    <x v="0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0528"/>
    <d v="2025-02-25T00:00:00"/>
    <x v="0"/>
    <x v="0"/>
    <x v="0"/>
    <x v="1"/>
    <x v="1"/>
    <n v="0"/>
    <n v="0"/>
    <n v="0"/>
    <n v="0"/>
    <n v="0"/>
    <n v="0"/>
    <n v="0"/>
    <m/>
    <n v="66.5"/>
    <s v="Unique"/>
    <s v="Valid"/>
    <s v="Valid"/>
    <s v="Valid"/>
    <s v="Valid"/>
    <s v="Valid"/>
    <s v="Outlier"/>
  </r>
  <r>
    <s v="USR-100529"/>
    <d v="2025-05-14T00:00:00"/>
    <x v="0"/>
    <x v="2"/>
    <x v="2"/>
    <x v="4"/>
    <x v="1"/>
    <n v="1"/>
    <n v="0"/>
    <n v="0"/>
    <n v="0"/>
    <n v="0"/>
    <n v="0"/>
    <n v="0"/>
    <m/>
    <n v="35.4"/>
    <s v="Unique"/>
    <s v="Valid"/>
    <s v="Valid"/>
    <s v="Valid"/>
    <s v="Valid"/>
    <s v="Valid"/>
    <s v="Outlier"/>
  </r>
  <r>
    <s v="USR-100530"/>
    <d v="2025-05-20T00:00:00"/>
    <x v="0"/>
    <x v="3"/>
    <x v="1"/>
    <x v="1"/>
    <x v="0"/>
    <n v="0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531"/>
    <d v="2025-02-11T00:00:00"/>
    <x v="0"/>
    <x v="3"/>
    <x v="1"/>
    <x v="1"/>
    <x v="1"/>
    <n v="0"/>
    <n v="0"/>
    <n v="0"/>
    <n v="0"/>
    <n v="0"/>
    <n v="0"/>
    <n v="0"/>
    <m/>
    <n v="49.1"/>
    <s v="Unique"/>
    <s v="Valid"/>
    <s v="Valid"/>
    <s v="Valid"/>
    <s v="Valid"/>
    <s v="Valid"/>
    <s v="Outlier"/>
  </r>
  <r>
    <s v="USR-100532"/>
    <d v="2025-02-13T00:00:00"/>
    <x v="0"/>
    <x v="1"/>
    <x v="1"/>
    <x v="1"/>
    <x v="1"/>
    <n v="1"/>
    <n v="0"/>
    <n v="0"/>
    <n v="0"/>
    <n v="0"/>
    <n v="0"/>
    <n v="0"/>
    <m/>
    <n v="84.3"/>
    <s v="Unique"/>
    <s v="Valid"/>
    <s v="Valid"/>
    <s v="Valid"/>
    <s v="Valid"/>
    <s v="Valid"/>
    <s v="Outlier"/>
  </r>
  <r>
    <s v="USR-100533"/>
    <d v="2025-04-07T00:00:00"/>
    <x v="0"/>
    <x v="3"/>
    <x v="1"/>
    <x v="2"/>
    <x v="2"/>
    <n v="1"/>
    <n v="0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534"/>
    <d v="2025-03-08T00:00:00"/>
    <x v="0"/>
    <x v="2"/>
    <x v="1"/>
    <x v="0"/>
    <x v="1"/>
    <n v="1"/>
    <n v="0"/>
    <n v="0"/>
    <n v="0"/>
    <n v="0"/>
    <n v="0"/>
    <n v="0"/>
    <m/>
    <n v="47.1"/>
    <s v="Unique"/>
    <s v="Valid"/>
    <s v="Valid"/>
    <s v="Valid"/>
    <s v="Valid"/>
    <s v="Valid"/>
    <s v="Outlier"/>
  </r>
  <r>
    <s v="USR-100535"/>
    <d v="2025-02-16T00:00:00"/>
    <x v="0"/>
    <x v="0"/>
    <x v="0"/>
    <x v="2"/>
    <x v="1"/>
    <n v="1"/>
    <n v="1"/>
    <n v="1"/>
    <n v="0"/>
    <n v="0"/>
    <n v="0"/>
    <n v="0"/>
    <m/>
    <n v="70"/>
    <s v="Unique"/>
    <s v="Valid"/>
    <s v="Valid"/>
    <s v="Valid"/>
    <s v="Valid"/>
    <s v="Valid"/>
    <s v="Outlier"/>
  </r>
  <r>
    <s v="USR-100536"/>
    <d v="2025-04-28T00:00:00"/>
    <x v="0"/>
    <x v="3"/>
    <x v="1"/>
    <x v="2"/>
    <x v="2"/>
    <n v="1"/>
    <n v="0"/>
    <n v="0"/>
    <n v="0"/>
    <n v="0"/>
    <n v="0"/>
    <n v="0"/>
    <m/>
    <n v="54.6"/>
    <s v="Unique"/>
    <s v="Valid"/>
    <s v="Valid"/>
    <s v="Valid"/>
    <s v="Valid"/>
    <s v="Valid"/>
    <s v="Outlier"/>
  </r>
  <r>
    <s v="USR-100537"/>
    <d v="2025-03-10T00:00:00"/>
    <x v="0"/>
    <x v="1"/>
    <x v="2"/>
    <x v="4"/>
    <x v="0"/>
    <n v="1"/>
    <n v="1"/>
    <n v="0"/>
    <n v="0"/>
    <n v="0"/>
    <n v="1"/>
    <n v="0"/>
    <m/>
    <n v="65.2"/>
    <s v="Unique"/>
    <s v="Valid"/>
    <s v="Valid"/>
    <s v="Valid"/>
    <s v="Valid"/>
    <s v="Valid"/>
    <s v="Outlier"/>
  </r>
  <r>
    <s v="USR-100538"/>
    <d v="2025-01-25T00:00:00"/>
    <x v="0"/>
    <x v="2"/>
    <x v="1"/>
    <x v="4"/>
    <x v="1"/>
    <n v="1"/>
    <n v="0"/>
    <n v="0"/>
    <n v="0"/>
    <n v="0"/>
    <n v="0"/>
    <n v="0"/>
    <m/>
    <n v="65"/>
    <s v="Unique"/>
    <s v="Valid"/>
    <s v="Valid"/>
    <s v="Valid"/>
    <s v="Valid"/>
    <s v="Valid"/>
    <s v="Outlier"/>
  </r>
  <r>
    <s v="USR-100539"/>
    <d v="2025-01-11T00:00:00"/>
    <x v="0"/>
    <x v="1"/>
    <x v="1"/>
    <x v="2"/>
    <x v="2"/>
    <n v="1"/>
    <n v="1"/>
    <n v="1"/>
    <n v="0"/>
    <n v="0"/>
    <n v="1"/>
    <n v="0"/>
    <m/>
    <n v="42.1"/>
    <s v="Unique"/>
    <s v="Valid"/>
    <s v="Valid"/>
    <s v="Valid"/>
    <s v="Valid"/>
    <s v="Valid"/>
    <s v="Outlier"/>
  </r>
  <r>
    <s v="USR-100540"/>
    <d v="2025-03-31T00:00:00"/>
    <x v="0"/>
    <x v="1"/>
    <x v="2"/>
    <x v="2"/>
    <x v="1"/>
    <n v="1"/>
    <n v="0"/>
    <n v="0"/>
    <n v="0"/>
    <n v="0"/>
    <n v="0"/>
    <n v="0"/>
    <m/>
    <n v="43.4"/>
    <s v="Unique"/>
    <s v="Valid"/>
    <s v="Valid"/>
    <s v="Valid"/>
    <s v="Valid"/>
    <s v="Valid"/>
    <s v="Outlier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s v="Unique"/>
    <s v="Valid"/>
    <s v="Valid"/>
    <s v="Valid"/>
    <s v="Valid"/>
    <s v="Valid"/>
    <s v="Outlier"/>
  </r>
  <r>
    <s v="USR-100542"/>
    <d v="2025-05-16T00:00:00"/>
    <x v="0"/>
    <x v="0"/>
    <x v="1"/>
    <x v="3"/>
    <x v="0"/>
    <n v="0"/>
    <n v="0"/>
    <n v="0"/>
    <n v="0"/>
    <n v="0"/>
    <n v="0"/>
    <n v="0"/>
    <m/>
    <n v="74.099999999999994"/>
    <s v="Unique"/>
    <s v="Valid"/>
    <s v="Valid"/>
    <s v="Valid"/>
    <s v="Valid"/>
    <s v="Valid"/>
    <s v="Outlier"/>
  </r>
  <r>
    <s v="USR-100543"/>
    <d v="2025-04-25T00:00:00"/>
    <x v="0"/>
    <x v="2"/>
    <x v="0"/>
    <x v="2"/>
    <x v="1"/>
    <n v="1"/>
    <n v="0"/>
    <n v="0"/>
    <n v="0"/>
    <n v="0"/>
    <n v="0"/>
    <n v="0"/>
    <m/>
    <n v="61.4"/>
    <s v="Unique"/>
    <s v="Valid"/>
    <s v="Valid"/>
    <s v="Valid"/>
    <s v="Valid"/>
    <s v="Valid"/>
    <s v="Outlier"/>
  </r>
  <r>
    <s v="USR-100544"/>
    <d v="2025-04-17T00:00:00"/>
    <x v="0"/>
    <x v="2"/>
    <x v="1"/>
    <x v="4"/>
    <x v="2"/>
    <n v="1"/>
    <n v="1"/>
    <n v="1"/>
    <n v="0"/>
    <n v="0"/>
    <n v="0"/>
    <n v="0"/>
    <m/>
    <n v="76.8"/>
    <s v="Unique"/>
    <s v="Valid"/>
    <s v="Valid"/>
    <s v="Valid"/>
    <s v="Valid"/>
    <s v="Valid"/>
    <s v="Outlier"/>
  </r>
  <r>
    <s v="USR-100545"/>
    <d v="2025-01-01T00:00:00"/>
    <x v="0"/>
    <x v="3"/>
    <x v="0"/>
    <x v="4"/>
    <x v="0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0546"/>
    <d v="2025-03-18T00:00:00"/>
    <x v="0"/>
    <x v="2"/>
    <x v="1"/>
    <x v="2"/>
    <x v="0"/>
    <n v="1"/>
    <n v="1"/>
    <n v="1"/>
    <n v="0"/>
    <n v="0"/>
    <n v="0"/>
    <n v="0"/>
    <m/>
    <n v="45.3"/>
    <s v="Unique"/>
    <s v="Valid"/>
    <s v="Valid"/>
    <s v="Valid"/>
    <s v="Valid"/>
    <s v="Valid"/>
    <s v="Outlier"/>
  </r>
  <r>
    <s v="USR-100547"/>
    <d v="2025-05-20T00:00:00"/>
    <x v="0"/>
    <x v="0"/>
    <x v="2"/>
    <x v="2"/>
    <x v="1"/>
    <n v="1"/>
    <n v="0"/>
    <n v="0"/>
    <n v="0"/>
    <n v="0"/>
    <n v="0"/>
    <n v="0"/>
    <m/>
    <n v="41.4"/>
    <s v="Unique"/>
    <s v="Valid"/>
    <s v="Valid"/>
    <s v="Valid"/>
    <s v="Valid"/>
    <s v="Valid"/>
    <s v="Outlier"/>
  </r>
  <r>
    <s v="USR-100548"/>
    <d v="2025-03-16T00:00:00"/>
    <x v="0"/>
    <x v="0"/>
    <x v="1"/>
    <x v="1"/>
    <x v="0"/>
    <n v="1"/>
    <n v="0"/>
    <n v="0"/>
    <n v="0"/>
    <n v="0"/>
    <n v="0"/>
    <n v="0"/>
    <m/>
    <n v="37.1"/>
    <s v="Unique"/>
    <s v="Valid"/>
    <s v="Valid"/>
    <s v="Valid"/>
    <s v="Valid"/>
    <s v="Valid"/>
    <s v="Outlier"/>
  </r>
  <r>
    <s v="USR-100549"/>
    <d v="2025-05-30T00:00:00"/>
    <x v="0"/>
    <x v="2"/>
    <x v="0"/>
    <x v="4"/>
    <x v="1"/>
    <n v="1"/>
    <n v="0"/>
    <n v="0"/>
    <n v="0"/>
    <n v="0"/>
    <n v="0"/>
    <n v="0"/>
    <m/>
    <n v="40.700000000000003"/>
    <s v="Unique"/>
    <s v="Valid"/>
    <s v="Valid"/>
    <s v="Valid"/>
    <s v="Valid"/>
    <s v="Valid"/>
    <s v="Outlier"/>
  </r>
  <r>
    <s v="USR-100550"/>
    <d v="2025-02-20T00:00:00"/>
    <x v="0"/>
    <x v="0"/>
    <x v="1"/>
    <x v="4"/>
    <x v="2"/>
    <n v="0"/>
    <n v="0"/>
    <n v="0"/>
    <n v="0"/>
    <n v="0"/>
    <n v="2"/>
    <n v="0"/>
    <m/>
    <n v="55.9"/>
    <s v="Unique"/>
    <s v="Valid"/>
    <s v="Valid"/>
    <s v="Valid"/>
    <s v="Valid"/>
    <s v="Valid"/>
    <s v="Outlier"/>
  </r>
  <r>
    <s v="USR-100551"/>
    <d v="2025-02-11T00:00:00"/>
    <x v="0"/>
    <x v="2"/>
    <x v="3"/>
    <x v="4"/>
    <x v="1"/>
    <n v="1"/>
    <n v="1"/>
    <n v="0"/>
    <n v="0"/>
    <n v="0"/>
    <n v="0"/>
    <n v="0"/>
    <m/>
    <n v="55.8"/>
    <s v="Unique"/>
    <s v="Valid"/>
    <s v="Valid"/>
    <s v="Valid"/>
    <s v="Valid"/>
    <s v="Valid"/>
    <s v="Outlier"/>
  </r>
  <r>
    <s v="USR-100552"/>
    <d v="2025-01-02T00:00:00"/>
    <x v="0"/>
    <x v="3"/>
    <x v="2"/>
    <x v="3"/>
    <x v="0"/>
    <n v="1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553"/>
    <d v="2025-05-03T00:00:00"/>
    <x v="0"/>
    <x v="0"/>
    <x v="1"/>
    <x v="1"/>
    <x v="1"/>
    <n v="0"/>
    <n v="0"/>
    <n v="0"/>
    <n v="0"/>
    <n v="0"/>
    <n v="0"/>
    <n v="0"/>
    <m/>
    <n v="65.400000000000006"/>
    <s v="Unique"/>
    <s v="Valid"/>
    <s v="Valid"/>
    <s v="Valid"/>
    <s v="Valid"/>
    <s v="Valid"/>
    <s v="Outlier"/>
  </r>
  <r>
    <s v="USR-100554"/>
    <d v="2025-02-24T00:00:00"/>
    <x v="0"/>
    <x v="1"/>
    <x v="1"/>
    <x v="1"/>
    <x v="1"/>
    <n v="1"/>
    <n v="0"/>
    <n v="0"/>
    <n v="0"/>
    <n v="0"/>
    <n v="0"/>
    <n v="0"/>
    <m/>
    <n v="89.8"/>
    <s v="Unique"/>
    <s v="Valid"/>
    <s v="Valid"/>
    <s v="Valid"/>
    <s v="Valid"/>
    <s v="Valid"/>
    <s v="Outlier"/>
  </r>
  <r>
    <s v="USR-100555"/>
    <d v="2025-02-11T00:00:00"/>
    <x v="0"/>
    <x v="3"/>
    <x v="3"/>
    <x v="1"/>
    <x v="1"/>
    <n v="1"/>
    <n v="1"/>
    <n v="1"/>
    <n v="0"/>
    <n v="0"/>
    <n v="0"/>
    <n v="0"/>
    <m/>
    <n v="58.3"/>
    <s v="Unique"/>
    <s v="Valid"/>
    <s v="Valid"/>
    <s v="Valid"/>
    <s v="Valid"/>
    <s v="Valid"/>
    <s v="Outlier"/>
  </r>
  <r>
    <s v="USR-100556"/>
    <d v="2025-05-06T00:00:00"/>
    <x v="0"/>
    <x v="3"/>
    <x v="1"/>
    <x v="4"/>
    <x v="0"/>
    <n v="1"/>
    <n v="0"/>
    <n v="0"/>
    <n v="0"/>
    <n v="0"/>
    <n v="0"/>
    <n v="0"/>
    <m/>
    <n v="64.400000000000006"/>
    <s v="Unique"/>
    <s v="Valid"/>
    <s v="Valid"/>
    <s v="Valid"/>
    <s v="Valid"/>
    <s v="Valid"/>
    <s v="Outlier"/>
  </r>
  <r>
    <s v="USR-100557"/>
    <d v="2025-05-23T00:00:00"/>
    <x v="0"/>
    <x v="0"/>
    <x v="1"/>
    <x v="2"/>
    <x v="2"/>
    <n v="0"/>
    <n v="0"/>
    <n v="0"/>
    <n v="0"/>
    <n v="0"/>
    <n v="0"/>
    <n v="0"/>
    <m/>
    <n v="46.2"/>
    <s v="Unique"/>
    <s v="Valid"/>
    <s v="Valid"/>
    <s v="Valid"/>
    <s v="Valid"/>
    <s v="Valid"/>
    <s v="Outlier"/>
  </r>
  <r>
    <s v="USR-100558"/>
    <d v="2025-01-09T00:00:00"/>
    <x v="0"/>
    <x v="0"/>
    <x v="0"/>
    <x v="2"/>
    <x v="1"/>
    <n v="0"/>
    <n v="0"/>
    <n v="0"/>
    <n v="0"/>
    <n v="0"/>
    <n v="0"/>
    <n v="0"/>
    <m/>
    <n v="78"/>
    <s v="Unique"/>
    <s v="Valid"/>
    <s v="Valid"/>
    <s v="Valid"/>
    <s v="Valid"/>
    <s v="Valid"/>
    <s v="Outlier"/>
  </r>
  <r>
    <s v="USR-100559"/>
    <d v="2025-04-01T00:00:00"/>
    <x v="0"/>
    <x v="0"/>
    <x v="0"/>
    <x v="1"/>
    <x v="2"/>
    <n v="1"/>
    <n v="0"/>
    <n v="0"/>
    <n v="0"/>
    <n v="0"/>
    <n v="0"/>
    <n v="0"/>
    <m/>
    <n v="62.3"/>
    <s v="Unique"/>
    <s v="Valid"/>
    <s v="Valid"/>
    <s v="Valid"/>
    <s v="Valid"/>
    <s v="Valid"/>
    <s v="Outlier"/>
  </r>
  <r>
    <s v="USR-100560"/>
    <d v="2025-03-08T00:00:00"/>
    <x v="0"/>
    <x v="0"/>
    <x v="1"/>
    <x v="1"/>
    <x v="1"/>
    <n v="1"/>
    <n v="0"/>
    <n v="0"/>
    <n v="0"/>
    <n v="0"/>
    <n v="0"/>
    <n v="0"/>
    <m/>
    <n v="78.8"/>
    <s v="Unique"/>
    <s v="Valid"/>
    <s v="Valid"/>
    <s v="Valid"/>
    <s v="Valid"/>
    <s v="Valid"/>
    <s v="Outlier"/>
  </r>
  <r>
    <s v="USR-100561"/>
    <d v="2025-02-20T00:00:00"/>
    <x v="0"/>
    <x v="0"/>
    <x v="1"/>
    <x v="4"/>
    <x v="0"/>
    <n v="1"/>
    <n v="0"/>
    <n v="0"/>
    <n v="0"/>
    <n v="0"/>
    <n v="0"/>
    <n v="0"/>
    <m/>
    <n v="25"/>
    <s v="Unique"/>
    <s v="Valid"/>
    <s v="Valid"/>
    <s v="Valid"/>
    <s v="Valid"/>
    <s v="Valid"/>
    <s v="Outlier"/>
  </r>
  <r>
    <s v="USR-100562"/>
    <d v="2025-03-30T00:00:00"/>
    <x v="0"/>
    <x v="2"/>
    <x v="1"/>
    <x v="4"/>
    <x v="0"/>
    <n v="0"/>
    <n v="0"/>
    <n v="0"/>
    <n v="0"/>
    <n v="0"/>
    <n v="0"/>
    <n v="0"/>
    <m/>
    <n v="53.4"/>
    <s v="Unique"/>
    <s v="Valid"/>
    <s v="Valid"/>
    <s v="Valid"/>
    <s v="Valid"/>
    <s v="Valid"/>
    <s v="Outlier"/>
  </r>
  <r>
    <s v="USR-100563"/>
    <d v="2025-04-10T00:00:00"/>
    <x v="0"/>
    <x v="2"/>
    <x v="0"/>
    <x v="1"/>
    <x v="0"/>
    <n v="0"/>
    <n v="0"/>
    <n v="0"/>
    <n v="0"/>
    <n v="0"/>
    <n v="0"/>
    <n v="0"/>
    <m/>
    <n v="40.700000000000003"/>
    <s v="Unique"/>
    <s v="Valid"/>
    <s v="Valid"/>
    <s v="Valid"/>
    <s v="Valid"/>
    <s v="Valid"/>
    <s v="Outlier"/>
  </r>
  <r>
    <s v="USR-100564"/>
    <d v="2025-03-24T00:00:00"/>
    <x v="0"/>
    <x v="2"/>
    <x v="1"/>
    <x v="1"/>
    <x v="2"/>
    <n v="1"/>
    <n v="1"/>
    <n v="0"/>
    <n v="0"/>
    <n v="0"/>
    <n v="0"/>
    <n v="0"/>
    <m/>
    <n v="36.700000000000003"/>
    <s v="Unique"/>
    <s v="Valid"/>
    <s v="Valid"/>
    <s v="Valid"/>
    <s v="Valid"/>
    <s v="Valid"/>
    <s v="Outlier"/>
  </r>
  <r>
    <s v="USR-100565"/>
    <d v="2025-05-21T00:00:00"/>
    <x v="0"/>
    <x v="1"/>
    <x v="1"/>
    <x v="1"/>
    <x v="0"/>
    <n v="1"/>
    <n v="0"/>
    <n v="0"/>
    <n v="0"/>
    <n v="0"/>
    <n v="1"/>
    <n v="0"/>
    <m/>
    <n v="67.5"/>
    <s v="Unique"/>
    <s v="Valid"/>
    <s v="Valid"/>
    <s v="Valid"/>
    <s v="Valid"/>
    <s v="Valid"/>
    <s v="Outlier"/>
  </r>
  <r>
    <s v="USR-100566"/>
    <d v="2025-03-29T00:00:00"/>
    <x v="0"/>
    <x v="2"/>
    <x v="1"/>
    <x v="4"/>
    <x v="2"/>
    <n v="1"/>
    <n v="1"/>
    <n v="1"/>
    <n v="0"/>
    <n v="0"/>
    <n v="0"/>
    <n v="0"/>
    <m/>
    <n v="69.900000000000006"/>
    <s v="Unique"/>
    <s v="Valid"/>
    <s v="Valid"/>
    <s v="Valid"/>
    <s v="Valid"/>
    <s v="Valid"/>
    <s v="Outlier"/>
  </r>
  <r>
    <s v="USR-100567"/>
    <d v="2025-02-23T00:00:00"/>
    <x v="0"/>
    <x v="0"/>
    <x v="2"/>
    <x v="3"/>
    <x v="0"/>
    <n v="1"/>
    <n v="0"/>
    <n v="0"/>
    <n v="0"/>
    <n v="0"/>
    <n v="0"/>
    <n v="0"/>
    <m/>
    <n v="65.099999999999994"/>
    <s v="Unique"/>
    <s v="Valid"/>
    <s v="Valid"/>
    <s v="Valid"/>
    <s v="Valid"/>
    <s v="Valid"/>
    <s v="Outlier"/>
  </r>
  <r>
    <s v="USR-100568"/>
    <d v="2025-02-16T00:00:00"/>
    <x v="0"/>
    <x v="1"/>
    <x v="1"/>
    <x v="2"/>
    <x v="2"/>
    <n v="1"/>
    <n v="0"/>
    <n v="0"/>
    <n v="0"/>
    <n v="0"/>
    <n v="0"/>
    <n v="0"/>
    <m/>
    <n v="48.7"/>
    <s v="Unique"/>
    <s v="Valid"/>
    <s v="Valid"/>
    <s v="Valid"/>
    <s v="Valid"/>
    <s v="Valid"/>
    <s v="Outlier"/>
  </r>
  <r>
    <s v="USR-100569"/>
    <d v="2025-02-21T00:00:00"/>
    <x v="0"/>
    <x v="1"/>
    <x v="0"/>
    <x v="1"/>
    <x v="0"/>
    <n v="1"/>
    <n v="1"/>
    <n v="0"/>
    <n v="0"/>
    <n v="0"/>
    <n v="0"/>
    <n v="0"/>
    <m/>
    <n v="47.2"/>
    <s v="Unique"/>
    <s v="Valid"/>
    <s v="Valid"/>
    <s v="Valid"/>
    <s v="Valid"/>
    <s v="Valid"/>
    <s v="Outlier"/>
  </r>
  <r>
    <s v="USR-100570"/>
    <d v="2025-01-07T00:00:00"/>
    <x v="0"/>
    <x v="0"/>
    <x v="1"/>
    <x v="3"/>
    <x v="1"/>
    <n v="1"/>
    <n v="0"/>
    <n v="0"/>
    <n v="0"/>
    <n v="0"/>
    <n v="2"/>
    <n v="0"/>
    <m/>
    <n v="20.3"/>
    <s v="Unique"/>
    <s v="Valid"/>
    <s v="Valid"/>
    <s v="Valid"/>
    <s v="Valid"/>
    <s v="Valid"/>
    <s v="Outlier"/>
  </r>
  <r>
    <s v="USR-100571"/>
    <d v="2025-03-06T00:00:00"/>
    <x v="0"/>
    <x v="1"/>
    <x v="1"/>
    <x v="2"/>
    <x v="1"/>
    <n v="0"/>
    <n v="0"/>
    <n v="0"/>
    <n v="0"/>
    <n v="0"/>
    <n v="1"/>
    <n v="0"/>
    <m/>
    <n v="57.8"/>
    <s v="Unique"/>
    <s v="Valid"/>
    <s v="Valid"/>
    <s v="Valid"/>
    <s v="Valid"/>
    <s v="Valid"/>
    <s v="Outlier"/>
  </r>
  <r>
    <s v="USR-100572"/>
    <d v="2025-03-30T00:00:00"/>
    <x v="0"/>
    <x v="2"/>
    <x v="1"/>
    <x v="0"/>
    <x v="0"/>
    <n v="1"/>
    <n v="0"/>
    <n v="0"/>
    <n v="0"/>
    <n v="0"/>
    <n v="0"/>
    <n v="0"/>
    <m/>
    <n v="78.7"/>
    <s v="Unique"/>
    <s v="Valid"/>
    <s v="Valid"/>
    <s v="Valid"/>
    <s v="Valid"/>
    <s v="Valid"/>
    <s v="Outlier"/>
  </r>
  <r>
    <s v="USR-100573"/>
    <d v="2025-05-31T00:00:00"/>
    <x v="0"/>
    <x v="3"/>
    <x v="0"/>
    <x v="1"/>
    <x v="1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574"/>
    <d v="2025-02-20T00:00:00"/>
    <x v="0"/>
    <x v="3"/>
    <x v="1"/>
    <x v="0"/>
    <x v="1"/>
    <n v="0"/>
    <n v="0"/>
    <n v="0"/>
    <n v="0"/>
    <n v="0"/>
    <n v="2"/>
    <n v="0"/>
    <m/>
    <n v="45.1"/>
    <s v="Unique"/>
    <s v="Valid"/>
    <s v="Valid"/>
    <s v="Valid"/>
    <s v="Valid"/>
    <s v="Valid"/>
    <s v="Outlier"/>
  </r>
  <r>
    <s v="USR-100575"/>
    <d v="2025-01-13T00:00:00"/>
    <x v="0"/>
    <x v="1"/>
    <x v="1"/>
    <x v="4"/>
    <x v="1"/>
    <n v="0"/>
    <n v="0"/>
    <n v="0"/>
    <n v="0"/>
    <n v="0"/>
    <n v="0"/>
    <n v="0"/>
    <m/>
    <n v="77.5"/>
    <s v="Unique"/>
    <s v="Valid"/>
    <s v="Valid"/>
    <s v="Valid"/>
    <s v="Valid"/>
    <s v="Valid"/>
    <s v="Outlier"/>
  </r>
  <r>
    <s v="USR-100576"/>
    <d v="2025-05-13T00:00:00"/>
    <x v="0"/>
    <x v="2"/>
    <x v="0"/>
    <x v="2"/>
    <x v="0"/>
    <n v="1"/>
    <n v="1"/>
    <n v="0"/>
    <n v="0"/>
    <n v="0"/>
    <n v="0"/>
    <n v="0"/>
    <m/>
    <n v="58"/>
    <s v="Unique"/>
    <s v="Valid"/>
    <s v="Valid"/>
    <s v="Valid"/>
    <s v="Valid"/>
    <s v="Valid"/>
    <s v="Outlier"/>
  </r>
  <r>
    <s v="USR-100577"/>
    <d v="2025-04-21T00:00:00"/>
    <x v="0"/>
    <x v="3"/>
    <x v="2"/>
    <x v="1"/>
    <x v="1"/>
    <n v="1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0578"/>
    <d v="2025-03-01T00:00:00"/>
    <x v="0"/>
    <x v="2"/>
    <x v="2"/>
    <x v="1"/>
    <x v="2"/>
    <n v="1"/>
    <n v="0"/>
    <n v="0"/>
    <n v="0"/>
    <n v="0"/>
    <n v="0"/>
    <n v="0"/>
    <m/>
    <n v="35.4"/>
    <s v="Unique"/>
    <s v="Valid"/>
    <s v="Valid"/>
    <s v="Valid"/>
    <s v="Valid"/>
    <s v="Valid"/>
    <s v="Outlier"/>
  </r>
  <r>
    <s v="USR-100579"/>
    <d v="2025-03-10T00:00:00"/>
    <x v="0"/>
    <x v="1"/>
    <x v="2"/>
    <x v="1"/>
    <x v="1"/>
    <n v="0"/>
    <n v="0"/>
    <n v="0"/>
    <n v="0"/>
    <n v="0"/>
    <n v="0"/>
    <n v="0"/>
    <m/>
    <n v="47"/>
    <s v="Unique"/>
    <s v="Valid"/>
    <s v="Valid"/>
    <s v="Valid"/>
    <s v="Valid"/>
    <s v="Valid"/>
    <s v="Outlier"/>
  </r>
  <r>
    <s v="USR-100580"/>
    <d v="2025-03-08T00:00:00"/>
    <x v="0"/>
    <x v="2"/>
    <x v="0"/>
    <x v="2"/>
    <x v="1"/>
    <n v="0"/>
    <n v="0"/>
    <n v="0"/>
    <n v="0"/>
    <n v="0"/>
    <n v="0"/>
    <n v="0"/>
    <m/>
    <n v="75"/>
    <s v="Unique"/>
    <s v="Valid"/>
    <s v="Valid"/>
    <s v="Valid"/>
    <s v="Valid"/>
    <s v="Valid"/>
    <s v="Outlier"/>
  </r>
  <r>
    <s v="USR-100581"/>
    <d v="2025-05-26T00:00:00"/>
    <x v="0"/>
    <x v="3"/>
    <x v="0"/>
    <x v="2"/>
    <x v="1"/>
    <n v="1"/>
    <n v="1"/>
    <n v="1"/>
    <n v="0"/>
    <n v="0"/>
    <n v="3"/>
    <n v="0"/>
    <m/>
    <n v="50.2"/>
    <s v="Unique"/>
    <s v="Valid"/>
    <s v="Valid"/>
    <s v="Valid"/>
    <s v="Valid"/>
    <s v="Valid"/>
    <s v="Outlier"/>
  </r>
  <r>
    <s v="USR-100582"/>
    <d v="2025-05-20T00:00:00"/>
    <x v="0"/>
    <x v="2"/>
    <x v="0"/>
    <x v="2"/>
    <x v="1"/>
    <n v="1"/>
    <n v="0"/>
    <n v="0"/>
    <n v="0"/>
    <n v="0"/>
    <n v="0"/>
    <n v="0"/>
    <m/>
    <n v="40.1"/>
    <s v="Unique"/>
    <s v="Valid"/>
    <s v="Valid"/>
    <s v="Valid"/>
    <s v="Valid"/>
    <s v="Valid"/>
    <s v="Outlier"/>
  </r>
  <r>
    <s v="USR-100583"/>
    <d v="2025-03-22T00:00:00"/>
    <x v="0"/>
    <x v="1"/>
    <x v="0"/>
    <x v="2"/>
    <x v="1"/>
    <n v="0"/>
    <n v="0"/>
    <n v="0"/>
    <n v="0"/>
    <n v="0"/>
    <n v="0"/>
    <n v="0"/>
    <m/>
    <n v="61.1"/>
    <s v="Unique"/>
    <s v="Valid"/>
    <s v="Valid"/>
    <s v="Valid"/>
    <s v="Valid"/>
    <s v="Valid"/>
    <s v="Outlier"/>
  </r>
  <r>
    <s v="USR-100584"/>
    <d v="2025-02-15T00:00:00"/>
    <x v="0"/>
    <x v="3"/>
    <x v="0"/>
    <x v="2"/>
    <x v="1"/>
    <n v="0"/>
    <n v="0"/>
    <n v="0"/>
    <n v="0"/>
    <n v="0"/>
    <n v="0"/>
    <n v="0"/>
    <m/>
    <n v="42.4"/>
    <s v="Unique"/>
    <s v="Valid"/>
    <s v="Valid"/>
    <s v="Valid"/>
    <s v="Valid"/>
    <s v="Valid"/>
    <s v="Outlier"/>
  </r>
  <r>
    <s v="USR-100585"/>
    <d v="2025-01-08T00:00:00"/>
    <x v="0"/>
    <x v="0"/>
    <x v="1"/>
    <x v="4"/>
    <x v="1"/>
    <n v="0"/>
    <n v="0"/>
    <n v="0"/>
    <n v="0"/>
    <n v="0"/>
    <n v="1"/>
    <n v="0"/>
    <m/>
    <n v="46.6"/>
    <s v="Unique"/>
    <s v="Valid"/>
    <s v="Valid"/>
    <s v="Valid"/>
    <s v="Valid"/>
    <s v="Valid"/>
    <s v="Outlier"/>
  </r>
  <r>
    <s v="USR-100586"/>
    <d v="2025-01-29T00:00:00"/>
    <x v="0"/>
    <x v="3"/>
    <x v="1"/>
    <x v="1"/>
    <x v="2"/>
    <n v="1"/>
    <n v="1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0587"/>
    <d v="2025-05-07T00:00:00"/>
    <x v="0"/>
    <x v="2"/>
    <x v="2"/>
    <x v="1"/>
    <x v="1"/>
    <n v="0"/>
    <n v="0"/>
    <n v="0"/>
    <n v="0"/>
    <n v="0"/>
    <n v="0"/>
    <n v="0"/>
    <m/>
    <n v="21.5"/>
    <s v="Unique"/>
    <s v="Valid"/>
    <s v="Valid"/>
    <s v="Valid"/>
    <s v="Valid"/>
    <s v="Valid"/>
    <s v="Outlier"/>
  </r>
  <r>
    <s v="USR-100588"/>
    <d v="2025-03-01T00:00:00"/>
    <x v="0"/>
    <x v="0"/>
    <x v="1"/>
    <x v="4"/>
    <x v="0"/>
    <n v="1"/>
    <n v="0"/>
    <n v="0"/>
    <n v="0"/>
    <n v="0"/>
    <n v="1"/>
    <n v="0"/>
    <m/>
    <n v="65.400000000000006"/>
    <s v="Unique"/>
    <s v="Valid"/>
    <s v="Valid"/>
    <s v="Valid"/>
    <s v="Valid"/>
    <s v="Valid"/>
    <s v="Outlier"/>
  </r>
  <r>
    <s v="USR-100589"/>
    <d v="2025-04-20T00:00:00"/>
    <x v="0"/>
    <x v="2"/>
    <x v="1"/>
    <x v="1"/>
    <x v="1"/>
    <n v="1"/>
    <n v="1"/>
    <n v="0"/>
    <n v="0"/>
    <n v="0"/>
    <n v="0"/>
    <n v="0"/>
    <m/>
    <n v="53.3"/>
    <s v="Unique"/>
    <s v="Valid"/>
    <s v="Valid"/>
    <s v="Valid"/>
    <s v="Valid"/>
    <s v="Valid"/>
    <s v="Outlier"/>
  </r>
  <r>
    <s v="USR-100590"/>
    <d v="2025-01-16T00:00:00"/>
    <x v="0"/>
    <x v="2"/>
    <x v="1"/>
    <x v="1"/>
    <x v="2"/>
    <n v="0"/>
    <n v="0"/>
    <n v="0"/>
    <n v="0"/>
    <n v="0"/>
    <n v="2"/>
    <n v="0"/>
    <m/>
    <n v="52.3"/>
    <s v="Unique"/>
    <s v="Valid"/>
    <s v="Valid"/>
    <s v="Valid"/>
    <s v="Valid"/>
    <s v="Valid"/>
    <s v="Outlier"/>
  </r>
  <r>
    <s v="USR-100591"/>
    <d v="2025-04-04T00:00:00"/>
    <x v="0"/>
    <x v="2"/>
    <x v="1"/>
    <x v="2"/>
    <x v="1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0592"/>
    <d v="2025-01-29T00:00:00"/>
    <x v="0"/>
    <x v="0"/>
    <x v="2"/>
    <x v="4"/>
    <x v="1"/>
    <n v="1"/>
    <n v="0"/>
    <n v="0"/>
    <n v="0"/>
    <n v="0"/>
    <n v="0"/>
    <n v="0"/>
    <m/>
    <n v="69.8"/>
    <s v="Unique"/>
    <s v="Valid"/>
    <s v="Valid"/>
    <s v="Valid"/>
    <s v="Valid"/>
    <s v="Valid"/>
    <s v="Outlier"/>
  </r>
  <r>
    <s v="USR-100593"/>
    <d v="2025-04-19T00:00:00"/>
    <x v="0"/>
    <x v="2"/>
    <x v="1"/>
    <x v="0"/>
    <x v="1"/>
    <n v="1"/>
    <n v="0"/>
    <n v="0"/>
    <n v="0"/>
    <n v="0"/>
    <n v="0"/>
    <n v="0"/>
    <m/>
    <n v="68.2"/>
    <s v="Unique"/>
    <s v="Valid"/>
    <s v="Valid"/>
    <s v="Valid"/>
    <s v="Valid"/>
    <s v="Valid"/>
    <s v="Outlier"/>
  </r>
  <r>
    <s v="USR-100594"/>
    <d v="2025-03-10T00:00:00"/>
    <x v="0"/>
    <x v="3"/>
    <x v="1"/>
    <x v="4"/>
    <x v="0"/>
    <n v="1"/>
    <n v="1"/>
    <n v="1"/>
    <n v="1"/>
    <n v="751.73"/>
    <n v="0"/>
    <n v="0"/>
    <n v="6"/>
    <n v="35.200000000000003"/>
    <s v="Unique"/>
    <s v="Valid"/>
    <s v="Valid"/>
    <s v="Valid"/>
    <s v="Valid"/>
    <s v="Valid"/>
    <s v="Outlier"/>
  </r>
  <r>
    <s v="USR-100595"/>
    <d v="2025-05-10T00:00:00"/>
    <x v="0"/>
    <x v="3"/>
    <x v="1"/>
    <x v="4"/>
    <x v="0"/>
    <n v="0"/>
    <n v="0"/>
    <n v="0"/>
    <n v="0"/>
    <n v="0"/>
    <n v="0"/>
    <n v="0"/>
    <m/>
    <n v="59.3"/>
    <s v="Unique"/>
    <s v="Valid"/>
    <s v="Valid"/>
    <s v="Valid"/>
    <s v="Valid"/>
    <s v="Valid"/>
    <s v="Outlier"/>
  </r>
  <r>
    <s v="USR-100596"/>
    <d v="2025-02-02T00:00:00"/>
    <x v="0"/>
    <x v="0"/>
    <x v="1"/>
    <x v="4"/>
    <x v="1"/>
    <n v="0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0597"/>
    <d v="2025-05-06T00:00:00"/>
    <x v="0"/>
    <x v="0"/>
    <x v="0"/>
    <x v="1"/>
    <x v="1"/>
    <n v="1"/>
    <n v="1"/>
    <n v="0"/>
    <n v="0"/>
    <n v="0"/>
    <n v="0"/>
    <n v="0"/>
    <m/>
    <n v="74.8"/>
    <s v="Unique"/>
    <s v="Valid"/>
    <s v="Valid"/>
    <s v="Valid"/>
    <s v="Valid"/>
    <s v="Valid"/>
    <s v="Outlier"/>
  </r>
  <r>
    <s v="USR-100598"/>
    <d v="2025-01-19T00:00:00"/>
    <x v="0"/>
    <x v="1"/>
    <x v="0"/>
    <x v="1"/>
    <x v="1"/>
    <n v="1"/>
    <n v="1"/>
    <n v="1"/>
    <n v="0"/>
    <n v="0"/>
    <n v="0"/>
    <n v="0"/>
    <m/>
    <n v="61.7"/>
    <s v="Unique"/>
    <s v="Valid"/>
    <s v="Valid"/>
    <s v="Valid"/>
    <s v="Valid"/>
    <s v="Valid"/>
    <s v="Outlier"/>
  </r>
  <r>
    <s v="USR-100599"/>
    <d v="2025-01-02T00:00:00"/>
    <x v="0"/>
    <x v="0"/>
    <x v="1"/>
    <x v="1"/>
    <x v="1"/>
    <n v="1"/>
    <n v="0"/>
    <n v="0"/>
    <n v="0"/>
    <n v="0"/>
    <n v="0"/>
    <n v="0"/>
    <m/>
    <n v="24.3"/>
    <s v="Unique"/>
    <s v="Valid"/>
    <s v="Valid"/>
    <s v="Valid"/>
    <s v="Valid"/>
    <s v="Valid"/>
    <s v="Outlier"/>
  </r>
  <r>
    <s v="USR-100600"/>
    <d v="2025-05-03T00:00:00"/>
    <x v="0"/>
    <x v="3"/>
    <x v="0"/>
    <x v="2"/>
    <x v="1"/>
    <n v="0"/>
    <n v="0"/>
    <n v="0"/>
    <n v="0"/>
    <n v="0"/>
    <n v="1"/>
    <n v="0"/>
    <m/>
    <n v="61.9"/>
    <s v="Unique"/>
    <s v="Valid"/>
    <s v="Valid"/>
    <s v="Valid"/>
    <s v="Valid"/>
    <s v="Valid"/>
    <s v="Outlier"/>
  </r>
  <r>
    <s v="USR-100601"/>
    <d v="2025-05-27T00:00:00"/>
    <x v="0"/>
    <x v="2"/>
    <x v="0"/>
    <x v="3"/>
    <x v="2"/>
    <n v="0"/>
    <n v="0"/>
    <n v="0"/>
    <n v="0"/>
    <n v="0"/>
    <n v="2"/>
    <n v="0"/>
    <m/>
    <n v="41.7"/>
    <s v="Unique"/>
    <s v="Valid"/>
    <s v="Valid"/>
    <s v="Valid"/>
    <s v="Valid"/>
    <s v="Valid"/>
    <s v="Outlier"/>
  </r>
  <r>
    <s v="USR-100602"/>
    <d v="2025-02-09T00:00:00"/>
    <x v="0"/>
    <x v="3"/>
    <x v="0"/>
    <x v="4"/>
    <x v="1"/>
    <n v="1"/>
    <n v="0"/>
    <n v="0"/>
    <n v="0"/>
    <n v="0"/>
    <n v="0"/>
    <n v="0"/>
    <m/>
    <n v="87.6"/>
    <s v="Unique"/>
    <s v="Valid"/>
    <s v="Valid"/>
    <s v="Valid"/>
    <s v="Valid"/>
    <s v="Valid"/>
    <s v="Outlier"/>
  </r>
  <r>
    <s v="USR-100603"/>
    <d v="2025-05-18T00:00:00"/>
    <x v="0"/>
    <x v="2"/>
    <x v="1"/>
    <x v="2"/>
    <x v="1"/>
    <n v="1"/>
    <n v="0"/>
    <n v="0"/>
    <n v="0"/>
    <n v="0"/>
    <n v="0"/>
    <n v="0"/>
    <m/>
    <n v="30.8"/>
    <s v="Unique"/>
    <s v="Valid"/>
    <s v="Valid"/>
    <s v="Valid"/>
    <s v="Valid"/>
    <s v="Valid"/>
    <s v="Outlier"/>
  </r>
  <r>
    <s v="USR-100604"/>
    <d v="2025-05-17T00:00:00"/>
    <x v="0"/>
    <x v="0"/>
    <x v="1"/>
    <x v="0"/>
    <x v="1"/>
    <n v="0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0605"/>
    <d v="2025-01-25T00:00:00"/>
    <x v="0"/>
    <x v="2"/>
    <x v="0"/>
    <x v="3"/>
    <x v="0"/>
    <n v="1"/>
    <n v="0"/>
    <n v="0"/>
    <n v="0"/>
    <n v="0"/>
    <n v="1"/>
    <n v="0"/>
    <m/>
    <n v="54.5"/>
    <s v="Unique"/>
    <s v="Valid"/>
    <s v="Valid"/>
    <s v="Valid"/>
    <s v="Valid"/>
    <s v="Valid"/>
    <s v="Outlier"/>
  </r>
  <r>
    <s v="USR-100606"/>
    <d v="2025-05-04T00:00:00"/>
    <x v="0"/>
    <x v="1"/>
    <x v="1"/>
    <x v="2"/>
    <x v="2"/>
    <n v="1"/>
    <n v="1"/>
    <n v="0"/>
    <n v="0"/>
    <n v="0"/>
    <n v="0"/>
    <n v="0"/>
    <m/>
    <n v="61.3"/>
    <s v="Unique"/>
    <s v="Valid"/>
    <s v="Valid"/>
    <s v="Valid"/>
    <s v="Valid"/>
    <s v="Valid"/>
    <s v="Outlier"/>
  </r>
  <r>
    <s v="USR-100607"/>
    <d v="2025-04-14T00:00:00"/>
    <x v="0"/>
    <x v="1"/>
    <x v="1"/>
    <x v="1"/>
    <x v="1"/>
    <n v="1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0608"/>
    <d v="2025-04-18T00:00:00"/>
    <x v="0"/>
    <x v="3"/>
    <x v="1"/>
    <x v="2"/>
    <x v="1"/>
    <n v="1"/>
    <n v="1"/>
    <n v="0"/>
    <n v="0"/>
    <n v="0"/>
    <n v="0"/>
    <n v="0"/>
    <m/>
    <n v="43.1"/>
    <s v="Unique"/>
    <s v="Valid"/>
    <s v="Valid"/>
    <s v="Valid"/>
    <s v="Valid"/>
    <s v="Valid"/>
    <s v="Outlier"/>
  </r>
  <r>
    <s v="USR-100609"/>
    <d v="2025-02-24T00:00:00"/>
    <x v="0"/>
    <x v="3"/>
    <x v="0"/>
    <x v="0"/>
    <x v="0"/>
    <n v="0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610"/>
    <d v="2025-04-19T00:00:00"/>
    <x v="0"/>
    <x v="0"/>
    <x v="2"/>
    <x v="2"/>
    <x v="1"/>
    <n v="1"/>
    <n v="1"/>
    <n v="1"/>
    <n v="0"/>
    <n v="0"/>
    <n v="0"/>
    <n v="0"/>
    <m/>
    <n v="55.7"/>
    <s v="Unique"/>
    <s v="Valid"/>
    <s v="Valid"/>
    <s v="Valid"/>
    <s v="Valid"/>
    <s v="Valid"/>
    <s v="Outlier"/>
  </r>
  <r>
    <s v="USR-100611"/>
    <d v="2025-03-07T00:00:00"/>
    <x v="0"/>
    <x v="3"/>
    <x v="0"/>
    <x v="1"/>
    <x v="0"/>
    <n v="1"/>
    <n v="0"/>
    <n v="0"/>
    <n v="0"/>
    <n v="0"/>
    <n v="0"/>
    <n v="0"/>
    <m/>
    <n v="37.1"/>
    <s v="Unique"/>
    <s v="Valid"/>
    <s v="Valid"/>
    <s v="Valid"/>
    <s v="Valid"/>
    <s v="Valid"/>
    <s v="Outlier"/>
  </r>
  <r>
    <s v="USR-100612"/>
    <d v="2025-03-09T00:00:00"/>
    <x v="0"/>
    <x v="2"/>
    <x v="1"/>
    <x v="1"/>
    <x v="0"/>
    <n v="0"/>
    <n v="0"/>
    <n v="0"/>
    <n v="0"/>
    <n v="0"/>
    <n v="1"/>
    <n v="0"/>
    <m/>
    <n v="46.7"/>
    <s v="Unique"/>
    <s v="Valid"/>
    <s v="Valid"/>
    <s v="Valid"/>
    <s v="Valid"/>
    <s v="Valid"/>
    <s v="Outlier"/>
  </r>
  <r>
    <s v="USR-100613"/>
    <d v="2025-05-01T00:00:00"/>
    <x v="0"/>
    <x v="3"/>
    <x v="0"/>
    <x v="1"/>
    <x v="0"/>
    <n v="1"/>
    <n v="0"/>
    <n v="0"/>
    <n v="0"/>
    <n v="0"/>
    <n v="0"/>
    <n v="0"/>
    <m/>
    <n v="54.1"/>
    <s v="Unique"/>
    <s v="Valid"/>
    <s v="Valid"/>
    <s v="Valid"/>
    <s v="Valid"/>
    <s v="Valid"/>
    <s v="Outlier"/>
  </r>
  <r>
    <s v="USR-100614"/>
    <d v="2025-02-09T00:00:00"/>
    <x v="0"/>
    <x v="1"/>
    <x v="0"/>
    <x v="1"/>
    <x v="2"/>
    <n v="1"/>
    <n v="1"/>
    <n v="1"/>
    <n v="0"/>
    <n v="0"/>
    <n v="0"/>
    <n v="0"/>
    <m/>
    <n v="56.1"/>
    <s v="Unique"/>
    <s v="Valid"/>
    <s v="Valid"/>
    <s v="Valid"/>
    <s v="Valid"/>
    <s v="Valid"/>
    <s v="Outlier"/>
  </r>
  <r>
    <s v="USR-100615"/>
    <d v="2025-05-22T00:00:00"/>
    <x v="0"/>
    <x v="1"/>
    <x v="1"/>
    <x v="3"/>
    <x v="2"/>
    <n v="0"/>
    <n v="0"/>
    <n v="0"/>
    <n v="0"/>
    <n v="0"/>
    <n v="0"/>
    <n v="0"/>
    <m/>
    <n v="23.6"/>
    <s v="Unique"/>
    <s v="Valid"/>
    <s v="Valid"/>
    <s v="Valid"/>
    <s v="Valid"/>
    <s v="Valid"/>
    <s v="Outlier"/>
  </r>
  <r>
    <s v="USR-100616"/>
    <d v="2025-02-11T00:00:00"/>
    <x v="0"/>
    <x v="0"/>
    <x v="1"/>
    <x v="1"/>
    <x v="2"/>
    <n v="0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0617"/>
    <d v="2025-04-12T00:00:00"/>
    <x v="0"/>
    <x v="0"/>
    <x v="1"/>
    <x v="3"/>
    <x v="0"/>
    <n v="0"/>
    <n v="0"/>
    <n v="0"/>
    <n v="0"/>
    <n v="0"/>
    <n v="2"/>
    <n v="0"/>
    <m/>
    <n v="50.4"/>
    <s v="Unique"/>
    <s v="Valid"/>
    <s v="Valid"/>
    <s v="Valid"/>
    <s v="Valid"/>
    <s v="Valid"/>
    <s v="Outlier"/>
  </r>
  <r>
    <s v="USR-100618"/>
    <d v="2025-03-01T00:00:00"/>
    <x v="0"/>
    <x v="1"/>
    <x v="1"/>
    <x v="4"/>
    <x v="1"/>
    <n v="1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619"/>
    <d v="2025-03-17T00:00:00"/>
    <x v="0"/>
    <x v="1"/>
    <x v="0"/>
    <x v="0"/>
    <x v="0"/>
    <n v="0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620"/>
    <d v="2025-01-11T00:00:00"/>
    <x v="0"/>
    <x v="0"/>
    <x v="1"/>
    <x v="2"/>
    <x v="1"/>
    <n v="0"/>
    <n v="0"/>
    <n v="0"/>
    <n v="0"/>
    <n v="0"/>
    <n v="0"/>
    <n v="0"/>
    <m/>
    <n v="42.9"/>
    <s v="Unique"/>
    <s v="Valid"/>
    <s v="Valid"/>
    <s v="Valid"/>
    <s v="Valid"/>
    <s v="Valid"/>
    <s v="Outlier"/>
  </r>
  <r>
    <s v="USR-100621"/>
    <d v="2025-02-17T00:00:00"/>
    <x v="0"/>
    <x v="3"/>
    <x v="1"/>
    <x v="4"/>
    <x v="2"/>
    <n v="1"/>
    <n v="0"/>
    <n v="0"/>
    <n v="0"/>
    <n v="0"/>
    <n v="0"/>
    <n v="0"/>
    <m/>
    <n v="51.1"/>
    <s v="Unique"/>
    <s v="Valid"/>
    <s v="Valid"/>
    <s v="Valid"/>
    <s v="Valid"/>
    <s v="Valid"/>
    <s v="Outlier"/>
  </r>
  <r>
    <s v="USR-100622"/>
    <d v="2025-03-25T00:00:00"/>
    <x v="0"/>
    <x v="2"/>
    <x v="1"/>
    <x v="2"/>
    <x v="0"/>
    <n v="1"/>
    <n v="1"/>
    <n v="0"/>
    <n v="0"/>
    <n v="0"/>
    <n v="0"/>
    <n v="0"/>
    <m/>
    <n v="51.8"/>
    <s v="Unique"/>
    <s v="Valid"/>
    <s v="Valid"/>
    <s v="Valid"/>
    <s v="Valid"/>
    <s v="Valid"/>
    <s v="Outlier"/>
  </r>
  <r>
    <s v="USR-100623"/>
    <d v="2025-05-01T00:00:00"/>
    <x v="0"/>
    <x v="3"/>
    <x v="1"/>
    <x v="2"/>
    <x v="1"/>
    <n v="0"/>
    <n v="0"/>
    <n v="0"/>
    <n v="0"/>
    <n v="0"/>
    <n v="0"/>
    <n v="0"/>
    <m/>
    <n v="67.7"/>
    <s v="Unique"/>
    <s v="Valid"/>
    <s v="Valid"/>
    <s v="Valid"/>
    <s v="Valid"/>
    <s v="Valid"/>
    <s v="Outlier"/>
  </r>
  <r>
    <s v="USR-100624"/>
    <d v="2025-04-02T00:00:00"/>
    <x v="0"/>
    <x v="2"/>
    <x v="1"/>
    <x v="1"/>
    <x v="0"/>
    <n v="0"/>
    <n v="0"/>
    <n v="0"/>
    <n v="0"/>
    <n v="0"/>
    <n v="0"/>
    <n v="0"/>
    <m/>
    <n v="75.8"/>
    <s v="Unique"/>
    <s v="Valid"/>
    <s v="Valid"/>
    <s v="Valid"/>
    <s v="Valid"/>
    <s v="Valid"/>
    <s v="Outlier"/>
  </r>
  <r>
    <s v="USR-100625"/>
    <d v="2025-04-05T00:00:00"/>
    <x v="0"/>
    <x v="2"/>
    <x v="1"/>
    <x v="0"/>
    <x v="1"/>
    <n v="1"/>
    <n v="1"/>
    <n v="0"/>
    <n v="0"/>
    <n v="0"/>
    <n v="0"/>
    <n v="0"/>
    <m/>
    <n v="72.8"/>
    <s v="Unique"/>
    <s v="Valid"/>
    <s v="Valid"/>
    <s v="Valid"/>
    <s v="Valid"/>
    <s v="Valid"/>
    <s v="Outlier"/>
  </r>
  <r>
    <s v="USR-100626"/>
    <d v="2025-02-24T00:00:00"/>
    <x v="0"/>
    <x v="0"/>
    <x v="0"/>
    <x v="4"/>
    <x v="1"/>
    <n v="1"/>
    <n v="1"/>
    <n v="0"/>
    <n v="0"/>
    <n v="0"/>
    <n v="0"/>
    <n v="0"/>
    <m/>
    <n v="54.4"/>
    <s v="Unique"/>
    <s v="Valid"/>
    <s v="Valid"/>
    <s v="Valid"/>
    <s v="Valid"/>
    <s v="Valid"/>
    <s v="Outlier"/>
  </r>
  <r>
    <s v="USR-100627"/>
    <d v="2025-01-24T00:00:00"/>
    <x v="0"/>
    <x v="1"/>
    <x v="1"/>
    <x v="2"/>
    <x v="0"/>
    <n v="1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0628"/>
    <d v="2025-04-10T00:00:00"/>
    <x v="0"/>
    <x v="3"/>
    <x v="1"/>
    <x v="2"/>
    <x v="1"/>
    <n v="0"/>
    <n v="0"/>
    <n v="0"/>
    <n v="0"/>
    <n v="0"/>
    <n v="0"/>
    <n v="0"/>
    <m/>
    <n v="40.299999999999997"/>
    <s v="Unique"/>
    <s v="Valid"/>
    <s v="Valid"/>
    <s v="Valid"/>
    <s v="Valid"/>
    <s v="Valid"/>
    <s v="Outlier"/>
  </r>
  <r>
    <s v="USR-100629"/>
    <d v="2025-02-19T00:00:00"/>
    <x v="0"/>
    <x v="3"/>
    <x v="1"/>
    <x v="3"/>
    <x v="1"/>
    <n v="1"/>
    <n v="1"/>
    <n v="1"/>
    <n v="0"/>
    <n v="0"/>
    <n v="0"/>
    <n v="0"/>
    <m/>
    <n v="61.7"/>
    <s v="Unique"/>
    <s v="Valid"/>
    <s v="Valid"/>
    <s v="Valid"/>
    <s v="Valid"/>
    <s v="Valid"/>
    <s v="Outlier"/>
  </r>
  <r>
    <s v="USR-100630"/>
    <d v="2025-03-22T00:00:00"/>
    <x v="0"/>
    <x v="0"/>
    <x v="1"/>
    <x v="4"/>
    <x v="1"/>
    <n v="0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0631"/>
    <d v="2025-04-08T00:00:00"/>
    <x v="0"/>
    <x v="2"/>
    <x v="0"/>
    <x v="1"/>
    <x v="2"/>
    <n v="1"/>
    <n v="1"/>
    <n v="1"/>
    <n v="0"/>
    <n v="0"/>
    <n v="0"/>
    <n v="0"/>
    <m/>
    <n v="60"/>
    <s v="Unique"/>
    <s v="Valid"/>
    <s v="Valid"/>
    <s v="Valid"/>
    <s v="Valid"/>
    <s v="Valid"/>
    <s v="Outlier"/>
  </r>
  <r>
    <s v="USR-100632"/>
    <d v="2025-03-16T00:00:00"/>
    <x v="0"/>
    <x v="0"/>
    <x v="1"/>
    <x v="4"/>
    <x v="1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633"/>
    <d v="2025-03-07T00:00:00"/>
    <x v="0"/>
    <x v="2"/>
    <x v="1"/>
    <x v="2"/>
    <x v="1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0634"/>
    <d v="2025-03-16T00:00:00"/>
    <x v="0"/>
    <x v="3"/>
    <x v="1"/>
    <x v="3"/>
    <x v="0"/>
    <n v="0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0635"/>
    <d v="2025-05-26T00:00:00"/>
    <x v="0"/>
    <x v="2"/>
    <x v="1"/>
    <x v="5"/>
    <x v="2"/>
    <n v="1"/>
    <n v="0"/>
    <n v="0"/>
    <n v="0"/>
    <n v="0"/>
    <n v="3"/>
    <n v="0"/>
    <m/>
    <n v="56"/>
    <s v="Unique"/>
    <s v="Valid"/>
    <s v="Valid"/>
    <s v="Valid"/>
    <s v="Valid"/>
    <s v="Valid"/>
    <s v="Outlier"/>
  </r>
  <r>
    <s v="USR-100636"/>
    <d v="2025-01-14T00:00:00"/>
    <x v="0"/>
    <x v="1"/>
    <x v="1"/>
    <x v="1"/>
    <x v="1"/>
    <n v="0"/>
    <n v="0"/>
    <n v="0"/>
    <n v="0"/>
    <n v="0"/>
    <n v="0"/>
    <n v="0"/>
    <m/>
    <n v="52.5"/>
    <s v="Unique"/>
    <s v="Valid"/>
    <s v="Valid"/>
    <s v="Valid"/>
    <s v="Valid"/>
    <s v="Valid"/>
    <s v="Outlier"/>
  </r>
  <r>
    <s v="USR-100637"/>
    <d v="2025-03-30T00:00:00"/>
    <x v="0"/>
    <x v="1"/>
    <x v="1"/>
    <x v="2"/>
    <x v="2"/>
    <n v="1"/>
    <n v="0"/>
    <n v="0"/>
    <n v="0"/>
    <n v="0"/>
    <n v="0"/>
    <n v="0"/>
    <m/>
    <n v="42.5"/>
    <s v="Unique"/>
    <s v="Valid"/>
    <s v="Valid"/>
    <s v="Valid"/>
    <s v="Valid"/>
    <s v="Valid"/>
    <s v="Outlier"/>
  </r>
  <r>
    <s v="USR-100638"/>
    <d v="2025-05-12T00:00:00"/>
    <x v="0"/>
    <x v="2"/>
    <x v="0"/>
    <x v="0"/>
    <x v="1"/>
    <n v="1"/>
    <n v="1"/>
    <n v="1"/>
    <n v="0"/>
    <n v="0"/>
    <n v="0"/>
    <n v="0"/>
    <m/>
    <n v="65.3"/>
    <s v="Unique"/>
    <s v="Valid"/>
    <s v="Valid"/>
    <s v="Valid"/>
    <s v="Valid"/>
    <s v="Valid"/>
    <s v="Outlier"/>
  </r>
  <r>
    <s v="USR-100639"/>
    <d v="2025-05-10T00:00:00"/>
    <x v="0"/>
    <x v="1"/>
    <x v="1"/>
    <x v="2"/>
    <x v="1"/>
    <n v="0"/>
    <n v="0"/>
    <n v="0"/>
    <n v="0"/>
    <n v="0"/>
    <n v="0"/>
    <n v="0"/>
    <m/>
    <n v="37.6"/>
    <s v="Unique"/>
    <s v="Valid"/>
    <s v="Valid"/>
    <s v="Valid"/>
    <s v="Valid"/>
    <s v="Valid"/>
    <s v="Outlier"/>
  </r>
  <r>
    <s v="USR-100640"/>
    <d v="2025-04-09T00:00:00"/>
    <x v="0"/>
    <x v="2"/>
    <x v="1"/>
    <x v="4"/>
    <x v="0"/>
    <n v="0"/>
    <n v="0"/>
    <n v="0"/>
    <n v="0"/>
    <n v="0"/>
    <n v="0"/>
    <n v="0"/>
    <m/>
    <n v="57.8"/>
    <s v="Unique"/>
    <s v="Valid"/>
    <s v="Valid"/>
    <s v="Valid"/>
    <s v="Valid"/>
    <s v="Valid"/>
    <s v="Outlier"/>
  </r>
  <r>
    <s v="USR-100641"/>
    <d v="2025-05-26T00:00:00"/>
    <x v="0"/>
    <x v="0"/>
    <x v="1"/>
    <x v="4"/>
    <x v="1"/>
    <n v="1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0642"/>
    <d v="2025-02-12T00:00:00"/>
    <x v="0"/>
    <x v="0"/>
    <x v="1"/>
    <x v="1"/>
    <x v="1"/>
    <n v="1"/>
    <n v="0"/>
    <n v="0"/>
    <n v="0"/>
    <n v="0"/>
    <n v="0"/>
    <n v="0"/>
    <m/>
    <n v="51.7"/>
    <s v="Unique"/>
    <s v="Valid"/>
    <s v="Valid"/>
    <s v="Valid"/>
    <s v="Valid"/>
    <s v="Valid"/>
    <s v="Outlier"/>
  </r>
  <r>
    <s v="USR-100643"/>
    <d v="2025-04-01T00:00:00"/>
    <x v="0"/>
    <x v="0"/>
    <x v="0"/>
    <x v="0"/>
    <x v="0"/>
    <n v="0"/>
    <n v="0"/>
    <n v="0"/>
    <n v="0"/>
    <n v="0"/>
    <n v="0"/>
    <n v="0"/>
    <m/>
    <n v="57"/>
    <s v="Unique"/>
    <s v="Valid"/>
    <s v="Valid"/>
    <s v="Valid"/>
    <s v="Valid"/>
    <s v="Valid"/>
    <s v="Outlier"/>
  </r>
  <r>
    <s v="USR-100644"/>
    <d v="2025-01-18T00:00:00"/>
    <x v="0"/>
    <x v="3"/>
    <x v="0"/>
    <x v="1"/>
    <x v="0"/>
    <n v="0"/>
    <n v="0"/>
    <n v="0"/>
    <n v="0"/>
    <n v="0"/>
    <n v="0"/>
    <n v="0"/>
    <m/>
    <n v="39.5"/>
    <s v="Unique"/>
    <s v="Valid"/>
    <s v="Valid"/>
    <s v="Valid"/>
    <s v="Valid"/>
    <s v="Valid"/>
    <s v="Outlier"/>
  </r>
  <r>
    <s v="USR-100645"/>
    <d v="2025-04-06T00:00:00"/>
    <x v="0"/>
    <x v="2"/>
    <x v="2"/>
    <x v="1"/>
    <x v="1"/>
    <n v="1"/>
    <n v="0"/>
    <n v="0"/>
    <n v="0"/>
    <n v="0"/>
    <n v="0"/>
    <n v="0"/>
    <m/>
    <n v="76.5"/>
    <s v="Unique"/>
    <s v="Valid"/>
    <s v="Valid"/>
    <s v="Valid"/>
    <s v="Valid"/>
    <s v="Valid"/>
    <s v="Outlier"/>
  </r>
  <r>
    <s v="USR-100646"/>
    <d v="2025-04-17T00:00:00"/>
    <x v="0"/>
    <x v="2"/>
    <x v="1"/>
    <x v="1"/>
    <x v="1"/>
    <n v="1"/>
    <n v="0"/>
    <n v="0"/>
    <n v="0"/>
    <n v="0"/>
    <n v="0"/>
    <n v="0"/>
    <m/>
    <n v="32.4"/>
    <s v="Unique"/>
    <s v="Valid"/>
    <s v="Valid"/>
    <s v="Valid"/>
    <s v="Valid"/>
    <s v="Valid"/>
    <s v="Outlier"/>
  </r>
  <r>
    <s v="USR-100647"/>
    <d v="2025-02-07T00:00:00"/>
    <x v="0"/>
    <x v="0"/>
    <x v="0"/>
    <x v="2"/>
    <x v="1"/>
    <n v="0"/>
    <n v="0"/>
    <n v="0"/>
    <n v="0"/>
    <n v="0"/>
    <n v="0"/>
    <n v="0"/>
    <m/>
    <n v="58.6"/>
    <s v="Unique"/>
    <s v="Valid"/>
    <s v="Valid"/>
    <s v="Valid"/>
    <s v="Valid"/>
    <s v="Valid"/>
    <s v="Outlier"/>
  </r>
  <r>
    <s v="USR-100648"/>
    <d v="2025-03-04T00:00:00"/>
    <x v="0"/>
    <x v="2"/>
    <x v="1"/>
    <x v="1"/>
    <x v="0"/>
    <n v="1"/>
    <n v="0"/>
    <n v="0"/>
    <n v="0"/>
    <n v="0"/>
    <n v="0"/>
    <n v="0"/>
    <m/>
    <n v="78.599999999999994"/>
    <s v="Unique"/>
    <s v="Valid"/>
    <s v="Valid"/>
    <s v="Valid"/>
    <s v="Valid"/>
    <s v="Valid"/>
    <s v="Outlier"/>
  </r>
  <r>
    <s v="USR-100649"/>
    <d v="2025-02-17T00:00:00"/>
    <x v="0"/>
    <x v="0"/>
    <x v="0"/>
    <x v="1"/>
    <x v="2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650"/>
    <d v="2025-05-06T00:00:00"/>
    <x v="0"/>
    <x v="3"/>
    <x v="1"/>
    <x v="3"/>
    <x v="1"/>
    <n v="1"/>
    <n v="0"/>
    <n v="0"/>
    <n v="0"/>
    <n v="0"/>
    <n v="0"/>
    <n v="0"/>
    <m/>
    <n v="57.6"/>
    <s v="Unique"/>
    <s v="Valid"/>
    <s v="Valid"/>
    <s v="Valid"/>
    <s v="Valid"/>
    <s v="Valid"/>
    <s v="Outlier"/>
  </r>
  <r>
    <s v="USR-100651"/>
    <d v="2025-03-25T00:00:00"/>
    <x v="0"/>
    <x v="3"/>
    <x v="1"/>
    <x v="3"/>
    <x v="2"/>
    <n v="0"/>
    <n v="0"/>
    <n v="0"/>
    <n v="0"/>
    <n v="0"/>
    <n v="0"/>
    <n v="0"/>
    <m/>
    <n v="52.8"/>
    <s v="Unique"/>
    <s v="Valid"/>
    <s v="Valid"/>
    <s v="Valid"/>
    <s v="Valid"/>
    <s v="Valid"/>
    <s v="Outlier"/>
  </r>
  <r>
    <s v="USR-100652"/>
    <d v="2025-03-04T00:00:00"/>
    <x v="0"/>
    <x v="1"/>
    <x v="1"/>
    <x v="0"/>
    <x v="2"/>
    <n v="1"/>
    <n v="0"/>
    <n v="0"/>
    <n v="0"/>
    <n v="0"/>
    <n v="0"/>
    <n v="0"/>
    <m/>
    <n v="52.9"/>
    <s v="Unique"/>
    <s v="Valid"/>
    <s v="Valid"/>
    <s v="Valid"/>
    <s v="Valid"/>
    <s v="Valid"/>
    <s v="Outlier"/>
  </r>
  <r>
    <s v="USR-100653"/>
    <d v="2025-05-09T00:00:00"/>
    <x v="0"/>
    <x v="1"/>
    <x v="1"/>
    <x v="1"/>
    <x v="1"/>
    <n v="1"/>
    <n v="0"/>
    <n v="0"/>
    <n v="0"/>
    <n v="0"/>
    <n v="1"/>
    <n v="0"/>
    <m/>
    <n v="55.9"/>
    <s v="Unique"/>
    <s v="Valid"/>
    <s v="Valid"/>
    <s v="Valid"/>
    <s v="Valid"/>
    <s v="Valid"/>
    <s v="Outlier"/>
  </r>
  <r>
    <s v="USR-100654"/>
    <d v="2025-05-17T00:00:00"/>
    <x v="0"/>
    <x v="1"/>
    <x v="1"/>
    <x v="3"/>
    <x v="2"/>
    <n v="1"/>
    <n v="0"/>
    <n v="0"/>
    <n v="0"/>
    <n v="0"/>
    <n v="0"/>
    <n v="0"/>
    <m/>
    <n v="74.2"/>
    <s v="Unique"/>
    <s v="Valid"/>
    <s v="Valid"/>
    <s v="Valid"/>
    <s v="Valid"/>
    <s v="Valid"/>
    <s v="Outlier"/>
  </r>
  <r>
    <s v="USR-100655"/>
    <d v="2025-01-12T00:00:00"/>
    <x v="0"/>
    <x v="1"/>
    <x v="1"/>
    <x v="1"/>
    <x v="1"/>
    <n v="0"/>
    <n v="0"/>
    <n v="0"/>
    <n v="0"/>
    <n v="0"/>
    <n v="0"/>
    <n v="0"/>
    <m/>
    <n v="46.3"/>
    <s v="Unique"/>
    <s v="Valid"/>
    <s v="Valid"/>
    <s v="Valid"/>
    <s v="Valid"/>
    <s v="Valid"/>
    <s v="Outlier"/>
  </r>
  <r>
    <s v="USR-100656"/>
    <d v="2025-03-12T00:00:00"/>
    <x v="0"/>
    <x v="1"/>
    <x v="1"/>
    <x v="1"/>
    <x v="2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0657"/>
    <d v="2025-04-02T00:00:00"/>
    <x v="0"/>
    <x v="3"/>
    <x v="1"/>
    <x v="1"/>
    <x v="0"/>
    <n v="0"/>
    <n v="0"/>
    <n v="0"/>
    <n v="0"/>
    <n v="0"/>
    <n v="0"/>
    <n v="0"/>
    <m/>
    <n v="55.6"/>
    <s v="Unique"/>
    <s v="Valid"/>
    <s v="Valid"/>
    <s v="Valid"/>
    <s v="Valid"/>
    <s v="Valid"/>
    <s v="Outlier"/>
  </r>
  <r>
    <s v="USR-100658"/>
    <d v="2025-01-13T00:00:00"/>
    <x v="0"/>
    <x v="3"/>
    <x v="1"/>
    <x v="1"/>
    <x v="0"/>
    <n v="1"/>
    <n v="0"/>
    <n v="0"/>
    <n v="0"/>
    <n v="0"/>
    <n v="0"/>
    <n v="0"/>
    <m/>
    <n v="62.8"/>
    <s v="Unique"/>
    <s v="Valid"/>
    <s v="Valid"/>
    <s v="Valid"/>
    <s v="Valid"/>
    <s v="Valid"/>
    <s v="Outlier"/>
  </r>
  <r>
    <s v="USR-100659"/>
    <d v="2025-03-07T00:00:00"/>
    <x v="0"/>
    <x v="2"/>
    <x v="1"/>
    <x v="3"/>
    <x v="1"/>
    <n v="0"/>
    <n v="0"/>
    <n v="0"/>
    <n v="0"/>
    <n v="0"/>
    <n v="0"/>
    <n v="0"/>
    <m/>
    <n v="73.099999999999994"/>
    <s v="Unique"/>
    <s v="Valid"/>
    <s v="Valid"/>
    <s v="Valid"/>
    <s v="Valid"/>
    <s v="Valid"/>
    <s v="Outlier"/>
  </r>
  <r>
    <s v="USR-100660"/>
    <d v="2025-04-20T00:00:00"/>
    <x v="0"/>
    <x v="3"/>
    <x v="0"/>
    <x v="4"/>
    <x v="1"/>
    <n v="1"/>
    <n v="1"/>
    <n v="1"/>
    <n v="1"/>
    <n v="347.52"/>
    <n v="0"/>
    <n v="0"/>
    <n v="2"/>
    <n v="57.2"/>
    <s v="Unique"/>
    <s v="Valid"/>
    <s v="Valid"/>
    <s v="Valid"/>
    <s v="Valid"/>
    <s v="Valid"/>
    <s v="Outlier"/>
  </r>
  <r>
    <s v="USR-100661"/>
    <d v="2025-01-07T00:00:00"/>
    <x v="0"/>
    <x v="3"/>
    <x v="1"/>
    <x v="2"/>
    <x v="1"/>
    <n v="1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0662"/>
    <d v="2025-04-23T00:00:00"/>
    <x v="0"/>
    <x v="3"/>
    <x v="1"/>
    <x v="3"/>
    <x v="1"/>
    <n v="0"/>
    <n v="0"/>
    <n v="0"/>
    <n v="0"/>
    <n v="0"/>
    <n v="0"/>
    <n v="0"/>
    <m/>
    <n v="50.1"/>
    <s v="Unique"/>
    <s v="Valid"/>
    <s v="Valid"/>
    <s v="Valid"/>
    <s v="Valid"/>
    <s v="Valid"/>
    <s v="Outlier"/>
  </r>
  <r>
    <s v="USR-100663"/>
    <d v="2025-05-26T00:00:00"/>
    <x v="0"/>
    <x v="0"/>
    <x v="1"/>
    <x v="2"/>
    <x v="0"/>
    <n v="0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0664"/>
    <d v="2025-03-17T00:00:00"/>
    <x v="0"/>
    <x v="0"/>
    <x v="0"/>
    <x v="4"/>
    <x v="0"/>
    <n v="1"/>
    <n v="1"/>
    <n v="1"/>
    <n v="0"/>
    <n v="0"/>
    <n v="0"/>
    <n v="0"/>
    <m/>
    <n v="60.8"/>
    <s v="Unique"/>
    <s v="Valid"/>
    <s v="Valid"/>
    <s v="Valid"/>
    <s v="Valid"/>
    <s v="Valid"/>
    <s v="Outlier"/>
  </r>
  <r>
    <s v="USR-100665"/>
    <d v="2025-05-17T00:00:00"/>
    <x v="0"/>
    <x v="0"/>
    <x v="0"/>
    <x v="2"/>
    <x v="0"/>
    <n v="1"/>
    <n v="0"/>
    <n v="0"/>
    <n v="0"/>
    <n v="0"/>
    <n v="3"/>
    <n v="0"/>
    <m/>
    <n v="33.700000000000003"/>
    <s v="Unique"/>
    <s v="Valid"/>
    <s v="Valid"/>
    <s v="Valid"/>
    <s v="Valid"/>
    <s v="Valid"/>
    <s v="Outlier"/>
  </r>
  <r>
    <s v="USR-100666"/>
    <d v="2025-02-21T00:00:00"/>
    <x v="0"/>
    <x v="0"/>
    <x v="1"/>
    <x v="2"/>
    <x v="0"/>
    <n v="0"/>
    <n v="0"/>
    <n v="0"/>
    <n v="0"/>
    <n v="0"/>
    <n v="0"/>
    <n v="0"/>
    <m/>
    <n v="45.2"/>
    <s v="Unique"/>
    <s v="Valid"/>
    <s v="Valid"/>
    <s v="Valid"/>
    <s v="Valid"/>
    <s v="Valid"/>
    <s v="Outlier"/>
  </r>
  <r>
    <s v="USR-100667"/>
    <d v="2025-02-25T00:00:00"/>
    <x v="0"/>
    <x v="2"/>
    <x v="0"/>
    <x v="2"/>
    <x v="2"/>
    <n v="0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0668"/>
    <d v="2025-01-30T00:00:00"/>
    <x v="0"/>
    <x v="3"/>
    <x v="1"/>
    <x v="4"/>
    <x v="1"/>
    <n v="1"/>
    <n v="1"/>
    <n v="0"/>
    <n v="0"/>
    <n v="0"/>
    <n v="1"/>
    <n v="0"/>
    <m/>
    <n v="44.8"/>
    <s v="Unique"/>
    <s v="Valid"/>
    <s v="Valid"/>
    <s v="Valid"/>
    <s v="Valid"/>
    <s v="Valid"/>
    <s v="Outlier"/>
  </r>
  <r>
    <s v="USR-100669"/>
    <d v="2025-02-17T00:00:00"/>
    <x v="0"/>
    <x v="0"/>
    <x v="2"/>
    <x v="4"/>
    <x v="0"/>
    <n v="0"/>
    <n v="0"/>
    <n v="0"/>
    <n v="0"/>
    <n v="0"/>
    <n v="0"/>
    <n v="0"/>
    <m/>
    <n v="52.1"/>
    <s v="Unique"/>
    <s v="Valid"/>
    <s v="Valid"/>
    <s v="Valid"/>
    <s v="Valid"/>
    <s v="Valid"/>
    <s v="Outlier"/>
  </r>
  <r>
    <s v="USR-100670"/>
    <d v="2025-05-17T00:00:00"/>
    <x v="0"/>
    <x v="0"/>
    <x v="0"/>
    <x v="2"/>
    <x v="0"/>
    <n v="1"/>
    <n v="0"/>
    <n v="0"/>
    <n v="0"/>
    <n v="0"/>
    <n v="0"/>
    <n v="0"/>
    <m/>
    <n v="30.7"/>
    <s v="Unique"/>
    <s v="Valid"/>
    <s v="Valid"/>
    <s v="Valid"/>
    <s v="Valid"/>
    <s v="Valid"/>
    <s v="Outlier"/>
  </r>
  <r>
    <s v="USR-100671"/>
    <d v="2025-04-30T00:00:00"/>
    <x v="0"/>
    <x v="2"/>
    <x v="0"/>
    <x v="2"/>
    <x v="1"/>
    <n v="1"/>
    <n v="0"/>
    <n v="0"/>
    <n v="0"/>
    <n v="0"/>
    <n v="0"/>
    <n v="0"/>
    <m/>
    <n v="58.4"/>
    <s v="Unique"/>
    <s v="Valid"/>
    <s v="Valid"/>
    <s v="Valid"/>
    <s v="Valid"/>
    <s v="Valid"/>
    <s v="Outlier"/>
  </r>
  <r>
    <s v="USR-100672"/>
    <d v="2025-03-22T00:00:00"/>
    <x v="0"/>
    <x v="1"/>
    <x v="1"/>
    <x v="3"/>
    <x v="1"/>
    <n v="1"/>
    <n v="1"/>
    <n v="0"/>
    <n v="0"/>
    <n v="0"/>
    <n v="0"/>
    <n v="0"/>
    <m/>
    <n v="52.6"/>
    <s v="Unique"/>
    <s v="Valid"/>
    <s v="Valid"/>
    <s v="Valid"/>
    <s v="Valid"/>
    <s v="Valid"/>
    <s v="Outlier"/>
  </r>
  <r>
    <s v="USR-100673"/>
    <d v="2025-01-10T00:00:00"/>
    <x v="0"/>
    <x v="1"/>
    <x v="3"/>
    <x v="2"/>
    <x v="1"/>
    <n v="1"/>
    <n v="0"/>
    <n v="0"/>
    <n v="0"/>
    <n v="0"/>
    <n v="1"/>
    <n v="0"/>
    <m/>
    <n v="19.100000000000001"/>
    <s v="Unique"/>
    <s v="Valid"/>
    <s v="Valid"/>
    <s v="Valid"/>
    <s v="Valid"/>
    <s v="Valid"/>
    <s v="Outlier"/>
  </r>
  <r>
    <s v="USR-100674"/>
    <d v="2025-03-21T00:00:00"/>
    <x v="0"/>
    <x v="3"/>
    <x v="3"/>
    <x v="2"/>
    <x v="1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0675"/>
    <d v="2025-05-12T00:00:00"/>
    <x v="0"/>
    <x v="0"/>
    <x v="0"/>
    <x v="2"/>
    <x v="0"/>
    <n v="0"/>
    <n v="0"/>
    <n v="0"/>
    <n v="0"/>
    <n v="0"/>
    <n v="0"/>
    <n v="0"/>
    <m/>
    <n v="68.5"/>
    <s v="Unique"/>
    <s v="Valid"/>
    <s v="Valid"/>
    <s v="Valid"/>
    <s v="Valid"/>
    <s v="Valid"/>
    <s v="Outlier"/>
  </r>
  <r>
    <s v="USR-100676"/>
    <d v="2025-05-24T00:00:00"/>
    <x v="0"/>
    <x v="1"/>
    <x v="1"/>
    <x v="2"/>
    <x v="1"/>
    <n v="1"/>
    <n v="1"/>
    <n v="1"/>
    <n v="0"/>
    <n v="0"/>
    <n v="0"/>
    <n v="0"/>
    <m/>
    <n v="40.1"/>
    <s v="Unique"/>
    <s v="Valid"/>
    <s v="Valid"/>
    <s v="Valid"/>
    <s v="Valid"/>
    <s v="Valid"/>
    <s v="Outlier"/>
  </r>
  <r>
    <s v="USR-100677"/>
    <d v="2025-05-03T00:00:00"/>
    <x v="0"/>
    <x v="1"/>
    <x v="2"/>
    <x v="1"/>
    <x v="1"/>
    <n v="1"/>
    <n v="0"/>
    <n v="0"/>
    <n v="0"/>
    <n v="0"/>
    <n v="0"/>
    <n v="0"/>
    <m/>
    <n v="47.5"/>
    <s v="Unique"/>
    <s v="Valid"/>
    <s v="Valid"/>
    <s v="Valid"/>
    <s v="Valid"/>
    <s v="Valid"/>
    <s v="Outlier"/>
  </r>
  <r>
    <s v="USR-100678"/>
    <d v="2025-01-14T00:00:00"/>
    <x v="0"/>
    <x v="3"/>
    <x v="1"/>
    <x v="1"/>
    <x v="0"/>
    <n v="1"/>
    <n v="0"/>
    <n v="0"/>
    <n v="0"/>
    <n v="0"/>
    <n v="0"/>
    <n v="0"/>
    <m/>
    <n v="77.099999999999994"/>
    <s v="Unique"/>
    <s v="Valid"/>
    <s v="Valid"/>
    <s v="Valid"/>
    <s v="Valid"/>
    <s v="Valid"/>
    <s v="Outlier"/>
  </r>
  <r>
    <s v="USR-100679"/>
    <d v="2025-03-27T00:00:00"/>
    <x v="0"/>
    <x v="1"/>
    <x v="1"/>
    <x v="4"/>
    <x v="0"/>
    <n v="1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680"/>
    <d v="2025-02-28T00:00:00"/>
    <x v="0"/>
    <x v="0"/>
    <x v="0"/>
    <x v="3"/>
    <x v="2"/>
    <n v="0"/>
    <n v="0"/>
    <n v="0"/>
    <n v="0"/>
    <n v="0"/>
    <n v="1"/>
    <n v="0"/>
    <m/>
    <n v="52"/>
    <s v="Unique"/>
    <s v="Valid"/>
    <s v="Valid"/>
    <s v="Valid"/>
    <s v="Valid"/>
    <s v="Valid"/>
    <s v="Outlier"/>
  </r>
  <r>
    <s v="USR-100681"/>
    <d v="2025-05-12T00:00:00"/>
    <x v="0"/>
    <x v="1"/>
    <x v="0"/>
    <x v="3"/>
    <x v="2"/>
    <n v="1"/>
    <n v="1"/>
    <n v="1"/>
    <n v="0"/>
    <n v="0"/>
    <n v="0"/>
    <n v="0"/>
    <m/>
    <n v="64.900000000000006"/>
    <s v="Unique"/>
    <s v="Valid"/>
    <s v="Valid"/>
    <s v="Valid"/>
    <s v="Valid"/>
    <s v="Valid"/>
    <s v="Outlier"/>
  </r>
  <r>
    <s v="USR-100682"/>
    <d v="2025-03-14T00:00:00"/>
    <x v="0"/>
    <x v="0"/>
    <x v="1"/>
    <x v="1"/>
    <x v="1"/>
    <n v="1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0683"/>
    <d v="2025-05-20T00:00:00"/>
    <x v="0"/>
    <x v="2"/>
    <x v="1"/>
    <x v="1"/>
    <x v="0"/>
    <n v="0"/>
    <n v="0"/>
    <n v="0"/>
    <n v="0"/>
    <n v="0"/>
    <n v="0"/>
    <n v="0"/>
    <m/>
    <n v="42.1"/>
    <s v="Unique"/>
    <s v="Valid"/>
    <s v="Valid"/>
    <s v="Valid"/>
    <s v="Valid"/>
    <s v="Valid"/>
    <s v="Outlier"/>
  </r>
  <r>
    <s v="USR-100684"/>
    <d v="2025-02-24T00:00:00"/>
    <x v="0"/>
    <x v="3"/>
    <x v="0"/>
    <x v="3"/>
    <x v="1"/>
    <n v="0"/>
    <n v="0"/>
    <n v="0"/>
    <n v="0"/>
    <n v="0"/>
    <n v="0"/>
    <n v="0"/>
    <m/>
    <n v="27.6"/>
    <s v="Unique"/>
    <s v="Valid"/>
    <s v="Valid"/>
    <s v="Valid"/>
    <s v="Valid"/>
    <s v="Valid"/>
    <s v="Outlier"/>
  </r>
  <r>
    <s v="USR-100685"/>
    <d v="2025-02-13T00:00:00"/>
    <x v="0"/>
    <x v="1"/>
    <x v="1"/>
    <x v="1"/>
    <x v="2"/>
    <n v="1"/>
    <n v="0"/>
    <n v="0"/>
    <n v="0"/>
    <n v="0"/>
    <n v="1"/>
    <n v="0"/>
    <m/>
    <n v="68.5"/>
    <s v="Unique"/>
    <s v="Valid"/>
    <s v="Valid"/>
    <s v="Valid"/>
    <s v="Valid"/>
    <s v="Valid"/>
    <s v="Outlier"/>
  </r>
  <r>
    <s v="USR-100686"/>
    <d v="2025-02-06T00:00:00"/>
    <x v="0"/>
    <x v="3"/>
    <x v="0"/>
    <x v="1"/>
    <x v="1"/>
    <n v="1"/>
    <n v="1"/>
    <n v="1"/>
    <n v="0"/>
    <n v="0"/>
    <n v="0"/>
    <n v="0"/>
    <m/>
    <n v="59.2"/>
    <s v="Unique"/>
    <s v="Valid"/>
    <s v="Valid"/>
    <s v="Valid"/>
    <s v="Valid"/>
    <s v="Valid"/>
    <s v="Outlier"/>
  </r>
  <r>
    <s v="USR-100687"/>
    <d v="2025-03-02T00:00:00"/>
    <x v="0"/>
    <x v="0"/>
    <x v="1"/>
    <x v="4"/>
    <x v="0"/>
    <n v="1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688"/>
    <d v="2025-04-28T00:00:00"/>
    <x v="0"/>
    <x v="2"/>
    <x v="0"/>
    <x v="2"/>
    <x v="1"/>
    <n v="0"/>
    <n v="0"/>
    <n v="0"/>
    <n v="0"/>
    <n v="0"/>
    <n v="0"/>
    <n v="0"/>
    <m/>
    <n v="55"/>
    <s v="Unique"/>
    <s v="Valid"/>
    <s v="Valid"/>
    <s v="Valid"/>
    <s v="Valid"/>
    <s v="Valid"/>
    <s v="Outlier"/>
  </r>
  <r>
    <s v="USR-100689"/>
    <d v="2025-05-27T00:00:00"/>
    <x v="0"/>
    <x v="0"/>
    <x v="0"/>
    <x v="5"/>
    <x v="2"/>
    <n v="1"/>
    <n v="0"/>
    <n v="0"/>
    <n v="0"/>
    <n v="0"/>
    <n v="0"/>
    <n v="0"/>
    <m/>
    <n v="64.8"/>
    <s v="Unique"/>
    <s v="Valid"/>
    <s v="Valid"/>
    <s v="Valid"/>
    <s v="Valid"/>
    <s v="Valid"/>
    <s v="Outlier"/>
  </r>
  <r>
    <s v="USR-100690"/>
    <d v="2025-04-07T00:00:00"/>
    <x v="0"/>
    <x v="3"/>
    <x v="0"/>
    <x v="1"/>
    <x v="0"/>
    <n v="0"/>
    <n v="0"/>
    <n v="0"/>
    <n v="0"/>
    <n v="0"/>
    <n v="2"/>
    <n v="0"/>
    <m/>
    <n v="41.8"/>
    <s v="Unique"/>
    <s v="Valid"/>
    <s v="Valid"/>
    <s v="Valid"/>
    <s v="Valid"/>
    <s v="Valid"/>
    <s v="Outlier"/>
  </r>
  <r>
    <s v="USR-100691"/>
    <d v="2025-04-14T00:00:00"/>
    <x v="1"/>
    <x v="2"/>
    <x v="0"/>
    <x v="4"/>
    <x v="0"/>
    <n v="1"/>
    <n v="0"/>
    <n v="0"/>
    <n v="0"/>
    <n v="0"/>
    <n v="0"/>
    <n v="0"/>
    <m/>
    <n v="73.2"/>
    <s v="Unique"/>
    <s v="Valid"/>
    <s v="Valid"/>
    <s v="Valid"/>
    <s v="Valid"/>
    <s v="Valid"/>
    <s v="Outlier"/>
  </r>
  <r>
    <s v="USR-100692"/>
    <d v="2025-05-09T00:00:00"/>
    <x v="1"/>
    <x v="2"/>
    <x v="0"/>
    <x v="1"/>
    <x v="0"/>
    <n v="1"/>
    <n v="1"/>
    <n v="1"/>
    <n v="0"/>
    <n v="0"/>
    <n v="3"/>
    <n v="0"/>
    <m/>
    <n v="55.7"/>
    <s v="Unique"/>
    <s v="Valid"/>
    <s v="Valid"/>
    <s v="Valid"/>
    <s v="Valid"/>
    <s v="Valid"/>
    <s v="Outlier"/>
  </r>
  <r>
    <s v="USR-100693"/>
    <d v="2025-03-21T00:00:00"/>
    <x v="1"/>
    <x v="0"/>
    <x v="1"/>
    <x v="1"/>
    <x v="1"/>
    <n v="1"/>
    <n v="1"/>
    <n v="1"/>
    <n v="0"/>
    <n v="0"/>
    <n v="0"/>
    <n v="0"/>
    <m/>
    <n v="82.8"/>
    <s v="Unique"/>
    <s v="Valid"/>
    <s v="Valid"/>
    <s v="Valid"/>
    <s v="Valid"/>
    <s v="Valid"/>
    <s v="Outlier"/>
  </r>
  <r>
    <s v="USR-100694"/>
    <d v="2025-03-27T00:00:00"/>
    <x v="1"/>
    <x v="0"/>
    <x v="0"/>
    <x v="4"/>
    <x v="1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695"/>
    <d v="2025-01-21T00:00:00"/>
    <x v="1"/>
    <x v="3"/>
    <x v="1"/>
    <x v="2"/>
    <x v="1"/>
    <n v="0"/>
    <n v="0"/>
    <n v="0"/>
    <n v="0"/>
    <n v="0"/>
    <n v="0"/>
    <n v="0"/>
    <m/>
    <n v="34.4"/>
    <s v="Unique"/>
    <s v="Valid"/>
    <s v="Valid"/>
    <s v="Valid"/>
    <s v="Valid"/>
    <s v="Valid"/>
    <s v="Outlier"/>
  </r>
  <r>
    <s v="USR-100696"/>
    <d v="2025-03-19T00:00:00"/>
    <x v="1"/>
    <x v="2"/>
    <x v="0"/>
    <x v="0"/>
    <x v="1"/>
    <n v="1"/>
    <n v="0"/>
    <n v="0"/>
    <n v="0"/>
    <n v="0"/>
    <n v="0"/>
    <n v="0"/>
    <m/>
    <n v="45.2"/>
    <s v="Unique"/>
    <s v="Valid"/>
    <s v="Valid"/>
    <s v="Valid"/>
    <s v="Valid"/>
    <s v="Valid"/>
    <s v="Outlier"/>
  </r>
  <r>
    <s v="USR-100697"/>
    <d v="2025-05-27T00:00:00"/>
    <x v="1"/>
    <x v="0"/>
    <x v="1"/>
    <x v="1"/>
    <x v="0"/>
    <n v="1"/>
    <n v="0"/>
    <n v="0"/>
    <n v="0"/>
    <n v="0"/>
    <n v="0"/>
    <n v="0"/>
    <m/>
    <n v="71.599999999999994"/>
    <s v="Unique"/>
    <s v="Valid"/>
    <s v="Valid"/>
    <s v="Valid"/>
    <s v="Valid"/>
    <s v="Valid"/>
    <s v="Outlier"/>
  </r>
  <r>
    <s v="USR-100698"/>
    <d v="2025-01-01T00:00:00"/>
    <x v="1"/>
    <x v="0"/>
    <x v="1"/>
    <x v="4"/>
    <x v="1"/>
    <n v="1"/>
    <n v="1"/>
    <n v="1"/>
    <n v="0"/>
    <n v="0"/>
    <n v="0"/>
    <n v="0"/>
    <m/>
    <n v="69.099999999999994"/>
    <s v="Unique"/>
    <s v="Valid"/>
    <s v="Valid"/>
    <s v="Valid"/>
    <s v="Valid"/>
    <s v="Valid"/>
    <s v="Outlier"/>
  </r>
  <r>
    <s v="USR-100699"/>
    <d v="2025-03-29T00:00:00"/>
    <x v="1"/>
    <x v="1"/>
    <x v="0"/>
    <x v="2"/>
    <x v="2"/>
    <n v="1"/>
    <n v="0"/>
    <n v="0"/>
    <n v="0"/>
    <n v="0"/>
    <n v="1"/>
    <n v="0"/>
    <m/>
    <n v="37.700000000000003"/>
    <s v="Unique"/>
    <s v="Valid"/>
    <s v="Valid"/>
    <s v="Valid"/>
    <s v="Valid"/>
    <s v="Valid"/>
    <s v="Outlier"/>
  </r>
  <r>
    <s v="USR-100700"/>
    <d v="2025-03-17T00:00:00"/>
    <x v="1"/>
    <x v="1"/>
    <x v="0"/>
    <x v="1"/>
    <x v="0"/>
    <n v="1"/>
    <n v="0"/>
    <n v="0"/>
    <n v="0"/>
    <n v="0"/>
    <n v="1"/>
    <n v="0"/>
    <m/>
    <n v="60.8"/>
    <s v="Unique"/>
    <s v="Valid"/>
    <s v="Valid"/>
    <s v="Valid"/>
    <s v="Valid"/>
    <s v="Valid"/>
    <s v="Outlier"/>
  </r>
  <r>
    <s v="USR-100701"/>
    <d v="2025-05-05T00:00:00"/>
    <x v="1"/>
    <x v="0"/>
    <x v="1"/>
    <x v="1"/>
    <x v="1"/>
    <n v="1"/>
    <n v="1"/>
    <n v="1"/>
    <n v="1"/>
    <n v="444.13"/>
    <n v="0"/>
    <n v="0"/>
    <n v="10"/>
    <n v="80.7"/>
    <s v="Unique"/>
    <s v="Valid"/>
    <s v="Valid"/>
    <s v="Valid"/>
    <s v="Valid"/>
    <s v="Valid"/>
    <s v="Outlier"/>
  </r>
  <r>
    <s v="USR-100702"/>
    <d v="2025-05-04T00:00:00"/>
    <x v="1"/>
    <x v="3"/>
    <x v="1"/>
    <x v="4"/>
    <x v="1"/>
    <n v="1"/>
    <n v="0"/>
    <n v="0"/>
    <n v="0"/>
    <n v="0"/>
    <n v="0"/>
    <n v="0"/>
    <m/>
    <n v="69.2"/>
    <s v="Unique"/>
    <s v="Valid"/>
    <s v="Valid"/>
    <s v="Valid"/>
    <s v="Valid"/>
    <s v="Valid"/>
    <s v="Outlier"/>
  </r>
  <r>
    <s v="USR-100703"/>
    <d v="2025-03-25T00:00:00"/>
    <x v="1"/>
    <x v="0"/>
    <x v="1"/>
    <x v="4"/>
    <x v="2"/>
    <n v="0"/>
    <n v="0"/>
    <n v="0"/>
    <n v="0"/>
    <n v="0"/>
    <n v="3"/>
    <n v="0"/>
    <m/>
    <n v="55"/>
    <s v="Unique"/>
    <s v="Valid"/>
    <s v="Valid"/>
    <s v="Valid"/>
    <s v="Valid"/>
    <s v="Valid"/>
    <s v="Outlier"/>
  </r>
  <r>
    <s v="USR-100704"/>
    <d v="2025-04-17T00:00:00"/>
    <x v="1"/>
    <x v="1"/>
    <x v="1"/>
    <x v="0"/>
    <x v="1"/>
    <n v="0"/>
    <n v="0"/>
    <n v="0"/>
    <n v="0"/>
    <n v="0"/>
    <n v="1"/>
    <n v="0"/>
    <m/>
    <n v="73.599999999999994"/>
    <s v="Unique"/>
    <s v="Valid"/>
    <s v="Valid"/>
    <s v="Valid"/>
    <s v="Valid"/>
    <s v="Valid"/>
    <s v="Outlier"/>
  </r>
  <r>
    <s v="USR-100705"/>
    <d v="2025-05-23T00:00:00"/>
    <x v="1"/>
    <x v="3"/>
    <x v="1"/>
    <x v="3"/>
    <x v="0"/>
    <n v="1"/>
    <n v="1"/>
    <n v="1"/>
    <n v="0"/>
    <n v="0"/>
    <n v="1"/>
    <n v="0"/>
    <m/>
    <n v="47.3"/>
    <s v="Unique"/>
    <s v="Valid"/>
    <s v="Valid"/>
    <s v="Valid"/>
    <s v="Valid"/>
    <s v="Valid"/>
    <s v="Outlier"/>
  </r>
  <r>
    <s v="USR-100706"/>
    <d v="2025-01-13T00:00:00"/>
    <x v="1"/>
    <x v="0"/>
    <x v="1"/>
    <x v="1"/>
    <x v="0"/>
    <n v="0"/>
    <n v="0"/>
    <n v="0"/>
    <n v="0"/>
    <n v="0"/>
    <n v="0"/>
    <n v="0"/>
    <m/>
    <n v="43.6"/>
    <s v="Unique"/>
    <s v="Valid"/>
    <s v="Valid"/>
    <s v="Valid"/>
    <s v="Valid"/>
    <s v="Valid"/>
    <s v="Outlier"/>
  </r>
  <r>
    <s v="USR-100707"/>
    <d v="2025-01-29T00:00:00"/>
    <x v="1"/>
    <x v="0"/>
    <x v="0"/>
    <x v="1"/>
    <x v="0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708"/>
    <d v="2025-05-11T00:00:00"/>
    <x v="1"/>
    <x v="3"/>
    <x v="1"/>
    <x v="0"/>
    <x v="1"/>
    <n v="0"/>
    <n v="0"/>
    <n v="0"/>
    <n v="0"/>
    <n v="0"/>
    <n v="0"/>
    <n v="0"/>
    <m/>
    <n v="55.2"/>
    <s v="Unique"/>
    <s v="Valid"/>
    <s v="Valid"/>
    <s v="Valid"/>
    <s v="Valid"/>
    <s v="Valid"/>
    <s v="Outlier"/>
  </r>
  <r>
    <s v="USR-100709"/>
    <d v="2025-04-22T00:00:00"/>
    <x v="1"/>
    <x v="3"/>
    <x v="1"/>
    <x v="1"/>
    <x v="0"/>
    <n v="1"/>
    <n v="0"/>
    <n v="0"/>
    <n v="0"/>
    <n v="0"/>
    <n v="0"/>
    <n v="0"/>
    <m/>
    <n v="49.4"/>
    <s v="Unique"/>
    <s v="Valid"/>
    <s v="Valid"/>
    <s v="Valid"/>
    <s v="Valid"/>
    <s v="Valid"/>
    <s v="Outlier"/>
  </r>
  <r>
    <s v="USR-100710"/>
    <d v="2025-03-03T00:00:00"/>
    <x v="1"/>
    <x v="3"/>
    <x v="1"/>
    <x v="4"/>
    <x v="1"/>
    <n v="1"/>
    <n v="1"/>
    <n v="1"/>
    <n v="0"/>
    <n v="0"/>
    <n v="1"/>
    <n v="0"/>
    <m/>
    <n v="60.1"/>
    <s v="Unique"/>
    <s v="Valid"/>
    <s v="Valid"/>
    <s v="Valid"/>
    <s v="Valid"/>
    <s v="Valid"/>
    <s v="Outlier"/>
  </r>
  <r>
    <s v="USR-100711"/>
    <d v="2025-03-18T00:00:00"/>
    <x v="1"/>
    <x v="0"/>
    <x v="1"/>
    <x v="3"/>
    <x v="1"/>
    <n v="1"/>
    <n v="0"/>
    <n v="0"/>
    <n v="0"/>
    <n v="0"/>
    <n v="0"/>
    <n v="0"/>
    <m/>
    <n v="55.9"/>
    <s v="Unique"/>
    <s v="Valid"/>
    <s v="Valid"/>
    <s v="Valid"/>
    <s v="Valid"/>
    <s v="Valid"/>
    <s v="Outlier"/>
  </r>
  <r>
    <s v="USR-100712"/>
    <d v="2025-04-05T00:00:00"/>
    <x v="1"/>
    <x v="0"/>
    <x v="1"/>
    <x v="1"/>
    <x v="0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713"/>
    <d v="2025-04-16T00:00:00"/>
    <x v="1"/>
    <x v="2"/>
    <x v="1"/>
    <x v="1"/>
    <x v="1"/>
    <n v="1"/>
    <n v="1"/>
    <n v="1"/>
    <n v="1"/>
    <n v="516.66999999999996"/>
    <n v="0"/>
    <n v="0"/>
    <n v="11"/>
    <n v="57.9"/>
    <s v="Unique"/>
    <s v="Valid"/>
    <s v="Valid"/>
    <s v="Valid"/>
    <s v="Valid"/>
    <s v="Valid"/>
    <s v="Outlier"/>
  </r>
  <r>
    <s v="USR-100714"/>
    <d v="2025-04-20T00:00:00"/>
    <x v="1"/>
    <x v="3"/>
    <x v="1"/>
    <x v="3"/>
    <x v="1"/>
    <n v="1"/>
    <n v="1"/>
    <n v="1"/>
    <n v="1"/>
    <n v="277.18"/>
    <n v="2"/>
    <n v="0"/>
    <n v="8"/>
    <n v="59.2"/>
    <s v="Unique"/>
    <s v="Valid"/>
    <s v="Valid"/>
    <s v="Valid"/>
    <s v="Valid"/>
    <s v="Valid"/>
    <s v="Outlier"/>
  </r>
  <r>
    <s v="USR-100715"/>
    <d v="2025-02-15T00:00:00"/>
    <x v="1"/>
    <x v="3"/>
    <x v="1"/>
    <x v="1"/>
    <x v="1"/>
    <n v="0"/>
    <n v="0"/>
    <n v="0"/>
    <n v="0"/>
    <n v="0"/>
    <n v="0"/>
    <n v="0"/>
    <m/>
    <n v="64.2"/>
    <s v="Unique"/>
    <s v="Valid"/>
    <s v="Valid"/>
    <s v="Valid"/>
    <s v="Valid"/>
    <s v="Valid"/>
    <s v="Outlier"/>
  </r>
  <r>
    <s v="USR-100716"/>
    <d v="2025-01-21T00:00:00"/>
    <x v="1"/>
    <x v="3"/>
    <x v="1"/>
    <x v="1"/>
    <x v="1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0717"/>
    <d v="2025-05-23T00:00:00"/>
    <x v="1"/>
    <x v="0"/>
    <x v="1"/>
    <x v="2"/>
    <x v="2"/>
    <n v="1"/>
    <n v="1"/>
    <n v="1"/>
    <n v="0"/>
    <n v="0"/>
    <n v="0"/>
    <n v="0"/>
    <m/>
    <n v="77.900000000000006"/>
    <s v="Unique"/>
    <s v="Valid"/>
    <s v="Valid"/>
    <s v="Valid"/>
    <s v="Valid"/>
    <s v="Valid"/>
    <s v="Outlier"/>
  </r>
  <r>
    <s v="USR-100718"/>
    <d v="2025-01-22T00:00:00"/>
    <x v="1"/>
    <x v="1"/>
    <x v="1"/>
    <x v="2"/>
    <x v="0"/>
    <n v="0"/>
    <n v="0"/>
    <n v="0"/>
    <n v="0"/>
    <n v="0"/>
    <n v="0"/>
    <n v="0"/>
    <m/>
    <n v="92.1"/>
    <s v="Unique"/>
    <s v="Valid"/>
    <s v="Valid"/>
    <s v="Valid"/>
    <s v="Valid"/>
    <s v="Valid"/>
    <s v="Outlier"/>
  </r>
  <r>
    <s v="USR-100719"/>
    <d v="2025-04-24T00:00:00"/>
    <x v="1"/>
    <x v="1"/>
    <x v="1"/>
    <x v="2"/>
    <x v="2"/>
    <n v="0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0720"/>
    <d v="2025-01-17T00:00:00"/>
    <x v="1"/>
    <x v="1"/>
    <x v="0"/>
    <x v="0"/>
    <x v="1"/>
    <n v="0"/>
    <n v="0"/>
    <n v="0"/>
    <n v="0"/>
    <n v="0"/>
    <n v="2"/>
    <n v="0"/>
    <m/>
    <n v="61.6"/>
    <s v="Unique"/>
    <s v="Valid"/>
    <s v="Valid"/>
    <s v="Valid"/>
    <s v="Valid"/>
    <s v="Valid"/>
    <s v="Outlier"/>
  </r>
  <r>
    <s v="USR-100721"/>
    <d v="2025-01-22T00:00:00"/>
    <x v="1"/>
    <x v="2"/>
    <x v="1"/>
    <x v="3"/>
    <x v="0"/>
    <n v="1"/>
    <n v="1"/>
    <n v="0"/>
    <n v="0"/>
    <n v="0"/>
    <n v="0"/>
    <n v="0"/>
    <m/>
    <n v="82.3"/>
    <s v="Unique"/>
    <s v="Valid"/>
    <s v="Valid"/>
    <s v="Valid"/>
    <s v="Valid"/>
    <s v="Valid"/>
    <s v="Outlier"/>
  </r>
  <r>
    <s v="USR-100722"/>
    <d v="2025-05-04T00:00:00"/>
    <x v="1"/>
    <x v="2"/>
    <x v="0"/>
    <x v="2"/>
    <x v="1"/>
    <n v="1"/>
    <n v="0"/>
    <n v="0"/>
    <n v="0"/>
    <n v="0"/>
    <n v="0"/>
    <n v="0"/>
    <m/>
    <n v="79.3"/>
    <s v="Unique"/>
    <s v="Valid"/>
    <s v="Valid"/>
    <s v="Valid"/>
    <s v="Valid"/>
    <s v="Valid"/>
    <s v="Outlier"/>
  </r>
  <r>
    <s v="USR-100723"/>
    <d v="2025-03-13T00:00:00"/>
    <x v="1"/>
    <x v="3"/>
    <x v="1"/>
    <x v="5"/>
    <x v="1"/>
    <n v="0"/>
    <n v="0"/>
    <n v="0"/>
    <n v="0"/>
    <n v="0"/>
    <n v="0"/>
    <n v="0"/>
    <m/>
    <n v="57.7"/>
    <s v="Unique"/>
    <s v="Valid"/>
    <s v="Valid"/>
    <s v="Valid"/>
    <s v="Valid"/>
    <s v="Valid"/>
    <s v="Outlier"/>
  </r>
  <r>
    <s v="USR-100724"/>
    <d v="2025-01-02T00:00:00"/>
    <x v="1"/>
    <x v="0"/>
    <x v="1"/>
    <x v="1"/>
    <x v="0"/>
    <n v="1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0725"/>
    <d v="2025-01-13T00:00:00"/>
    <x v="1"/>
    <x v="2"/>
    <x v="1"/>
    <x v="2"/>
    <x v="0"/>
    <n v="0"/>
    <n v="0"/>
    <n v="0"/>
    <n v="0"/>
    <n v="0"/>
    <n v="0"/>
    <n v="0"/>
    <m/>
    <n v="72.3"/>
    <s v="Unique"/>
    <s v="Valid"/>
    <s v="Valid"/>
    <s v="Valid"/>
    <s v="Valid"/>
    <s v="Valid"/>
    <s v="Outlier"/>
  </r>
  <r>
    <s v="USR-100726"/>
    <d v="2025-02-09T00:00:00"/>
    <x v="1"/>
    <x v="2"/>
    <x v="1"/>
    <x v="4"/>
    <x v="1"/>
    <n v="1"/>
    <n v="1"/>
    <n v="1"/>
    <n v="0"/>
    <n v="0"/>
    <n v="0"/>
    <n v="0"/>
    <m/>
    <n v="78"/>
    <s v="Unique"/>
    <s v="Valid"/>
    <s v="Valid"/>
    <s v="Valid"/>
    <s v="Valid"/>
    <s v="Valid"/>
    <s v="Outlier"/>
  </r>
  <r>
    <s v="USR-100727"/>
    <d v="2025-04-09T00:00:00"/>
    <x v="1"/>
    <x v="2"/>
    <x v="0"/>
    <x v="4"/>
    <x v="1"/>
    <n v="1"/>
    <n v="1"/>
    <n v="0"/>
    <n v="0"/>
    <n v="0"/>
    <n v="2"/>
    <n v="0"/>
    <m/>
    <n v="59.1"/>
    <s v="Unique"/>
    <s v="Valid"/>
    <s v="Valid"/>
    <s v="Valid"/>
    <s v="Valid"/>
    <s v="Valid"/>
    <s v="Outlier"/>
  </r>
  <r>
    <s v="USR-100728"/>
    <d v="2025-01-02T00:00:00"/>
    <x v="1"/>
    <x v="3"/>
    <x v="1"/>
    <x v="2"/>
    <x v="1"/>
    <n v="1"/>
    <n v="1"/>
    <n v="1"/>
    <n v="1"/>
    <n v="604.09"/>
    <n v="0"/>
    <n v="0"/>
    <n v="7"/>
    <n v="47.1"/>
    <s v="Unique"/>
    <s v="Valid"/>
    <s v="Valid"/>
    <s v="Valid"/>
    <s v="Valid"/>
    <s v="Valid"/>
    <s v="Outlier"/>
  </r>
  <r>
    <s v="USR-100729"/>
    <d v="2025-02-04T00:00:00"/>
    <x v="1"/>
    <x v="3"/>
    <x v="1"/>
    <x v="5"/>
    <x v="2"/>
    <n v="1"/>
    <n v="0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730"/>
    <d v="2025-02-19T00:00:00"/>
    <x v="1"/>
    <x v="3"/>
    <x v="2"/>
    <x v="2"/>
    <x v="1"/>
    <n v="0"/>
    <n v="0"/>
    <n v="0"/>
    <n v="0"/>
    <n v="0"/>
    <n v="0"/>
    <n v="0"/>
    <m/>
    <n v="67.3"/>
    <s v="Unique"/>
    <s v="Valid"/>
    <s v="Valid"/>
    <s v="Valid"/>
    <s v="Valid"/>
    <s v="Valid"/>
    <s v="Outlier"/>
  </r>
  <r>
    <s v="USR-100731"/>
    <d v="2025-04-01T00:00:00"/>
    <x v="1"/>
    <x v="2"/>
    <x v="1"/>
    <x v="2"/>
    <x v="0"/>
    <n v="1"/>
    <n v="0"/>
    <n v="0"/>
    <n v="0"/>
    <n v="0"/>
    <n v="2"/>
    <n v="0"/>
    <m/>
    <n v="52.9"/>
    <s v="Unique"/>
    <s v="Valid"/>
    <s v="Valid"/>
    <s v="Valid"/>
    <s v="Valid"/>
    <s v="Valid"/>
    <s v="Outlier"/>
  </r>
  <r>
    <s v="USR-100732"/>
    <d v="2025-01-29T00:00:00"/>
    <x v="1"/>
    <x v="0"/>
    <x v="1"/>
    <x v="3"/>
    <x v="1"/>
    <n v="1"/>
    <n v="1"/>
    <n v="1"/>
    <n v="1"/>
    <n v="442.37"/>
    <n v="1"/>
    <n v="0"/>
    <n v="4"/>
    <n v="69.900000000000006"/>
    <s v="Unique"/>
    <s v="Valid"/>
    <s v="Valid"/>
    <s v="Valid"/>
    <s v="Valid"/>
    <s v="Valid"/>
    <s v="Outlier"/>
  </r>
  <r>
    <s v="USR-100733"/>
    <d v="2025-05-18T00:00:00"/>
    <x v="1"/>
    <x v="0"/>
    <x v="1"/>
    <x v="3"/>
    <x v="0"/>
    <n v="1"/>
    <n v="1"/>
    <n v="1"/>
    <n v="0"/>
    <n v="0"/>
    <n v="0"/>
    <n v="0"/>
    <m/>
    <n v="78.900000000000006"/>
    <s v="Unique"/>
    <s v="Valid"/>
    <s v="Valid"/>
    <s v="Valid"/>
    <s v="Valid"/>
    <s v="Valid"/>
    <s v="Outlier"/>
  </r>
  <r>
    <s v="USR-100734"/>
    <d v="2025-04-15T00:00:00"/>
    <x v="1"/>
    <x v="2"/>
    <x v="0"/>
    <x v="4"/>
    <x v="2"/>
    <n v="1"/>
    <n v="1"/>
    <n v="0"/>
    <n v="0"/>
    <n v="0"/>
    <n v="0"/>
    <n v="0"/>
    <m/>
    <n v="83.3"/>
    <s v="Unique"/>
    <s v="Valid"/>
    <s v="Valid"/>
    <s v="Valid"/>
    <s v="Valid"/>
    <s v="Valid"/>
    <s v="Outlier"/>
  </r>
  <r>
    <s v="USR-100735"/>
    <d v="2025-03-28T00:00:00"/>
    <x v="1"/>
    <x v="2"/>
    <x v="0"/>
    <x v="0"/>
    <x v="1"/>
    <n v="1"/>
    <n v="0"/>
    <n v="0"/>
    <n v="0"/>
    <n v="0"/>
    <n v="1"/>
    <n v="0"/>
    <m/>
    <n v="24.5"/>
    <s v="Unique"/>
    <s v="Valid"/>
    <s v="Valid"/>
    <s v="Valid"/>
    <s v="Valid"/>
    <s v="Valid"/>
    <s v="Outlier"/>
  </r>
  <r>
    <s v="USR-100736"/>
    <d v="2025-04-01T00:00:00"/>
    <x v="1"/>
    <x v="1"/>
    <x v="1"/>
    <x v="2"/>
    <x v="0"/>
    <n v="1"/>
    <n v="1"/>
    <n v="0"/>
    <n v="0"/>
    <n v="0"/>
    <n v="1"/>
    <n v="0"/>
    <m/>
    <n v="56.9"/>
    <s v="Unique"/>
    <s v="Valid"/>
    <s v="Valid"/>
    <s v="Valid"/>
    <s v="Valid"/>
    <s v="Valid"/>
    <s v="Outlier"/>
  </r>
  <r>
    <s v="USR-100737"/>
    <d v="2025-02-11T00:00:00"/>
    <x v="1"/>
    <x v="1"/>
    <x v="1"/>
    <x v="4"/>
    <x v="0"/>
    <n v="1"/>
    <n v="0"/>
    <n v="0"/>
    <n v="0"/>
    <n v="0"/>
    <n v="0"/>
    <n v="0"/>
    <m/>
    <n v="69.900000000000006"/>
    <s v="Unique"/>
    <s v="Valid"/>
    <s v="Valid"/>
    <s v="Valid"/>
    <s v="Valid"/>
    <s v="Valid"/>
    <s v="Outlier"/>
  </r>
  <r>
    <s v="USR-100738"/>
    <d v="2025-03-04T00:00:00"/>
    <x v="1"/>
    <x v="3"/>
    <x v="1"/>
    <x v="1"/>
    <x v="1"/>
    <n v="1"/>
    <n v="1"/>
    <n v="1"/>
    <n v="0"/>
    <n v="0"/>
    <n v="0"/>
    <n v="0"/>
    <m/>
    <n v="81.5"/>
    <s v="Unique"/>
    <s v="Valid"/>
    <s v="Valid"/>
    <s v="Valid"/>
    <s v="Valid"/>
    <s v="Valid"/>
    <s v="Outlier"/>
  </r>
  <r>
    <s v="USR-100739"/>
    <d v="2025-01-21T00:00:00"/>
    <x v="1"/>
    <x v="0"/>
    <x v="2"/>
    <x v="4"/>
    <x v="0"/>
    <n v="0"/>
    <n v="0"/>
    <n v="0"/>
    <n v="0"/>
    <n v="0"/>
    <n v="2"/>
    <n v="0"/>
    <m/>
    <n v="37.9"/>
    <s v="Unique"/>
    <s v="Valid"/>
    <s v="Valid"/>
    <s v="Valid"/>
    <s v="Valid"/>
    <s v="Valid"/>
    <s v="Outlier"/>
  </r>
  <r>
    <s v="USR-100740"/>
    <d v="2025-02-14T00:00:00"/>
    <x v="1"/>
    <x v="0"/>
    <x v="1"/>
    <x v="3"/>
    <x v="1"/>
    <n v="0"/>
    <n v="0"/>
    <n v="0"/>
    <n v="0"/>
    <n v="0"/>
    <n v="1"/>
    <n v="0"/>
    <m/>
    <n v="61.7"/>
    <s v="Unique"/>
    <s v="Valid"/>
    <s v="Valid"/>
    <s v="Valid"/>
    <s v="Valid"/>
    <s v="Valid"/>
    <s v="Outlier"/>
  </r>
  <r>
    <s v="USR-100741"/>
    <d v="2025-03-30T00:00:00"/>
    <x v="1"/>
    <x v="0"/>
    <x v="0"/>
    <x v="5"/>
    <x v="2"/>
    <n v="1"/>
    <n v="0"/>
    <n v="0"/>
    <n v="0"/>
    <n v="0"/>
    <n v="2"/>
    <n v="0"/>
    <m/>
    <n v="53.2"/>
    <s v="Unique"/>
    <s v="Valid"/>
    <s v="Valid"/>
    <s v="Valid"/>
    <s v="Valid"/>
    <s v="Valid"/>
    <s v="Outlier"/>
  </r>
  <r>
    <s v="USR-100742"/>
    <d v="2025-01-08T00:00:00"/>
    <x v="1"/>
    <x v="0"/>
    <x v="1"/>
    <x v="3"/>
    <x v="1"/>
    <n v="0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743"/>
    <d v="2025-02-07T00:00:00"/>
    <x v="1"/>
    <x v="0"/>
    <x v="1"/>
    <x v="4"/>
    <x v="1"/>
    <n v="1"/>
    <n v="1"/>
    <n v="1"/>
    <n v="0"/>
    <n v="0"/>
    <n v="0"/>
    <n v="0"/>
    <m/>
    <n v="68.900000000000006"/>
    <s v="Unique"/>
    <s v="Valid"/>
    <s v="Valid"/>
    <s v="Valid"/>
    <s v="Valid"/>
    <s v="Valid"/>
    <s v="Outlier"/>
  </r>
  <r>
    <s v="USR-100744"/>
    <d v="2025-02-01T00:00:00"/>
    <x v="1"/>
    <x v="0"/>
    <x v="2"/>
    <x v="2"/>
    <x v="0"/>
    <n v="0"/>
    <n v="0"/>
    <n v="0"/>
    <n v="0"/>
    <n v="0"/>
    <n v="0"/>
    <n v="0"/>
    <m/>
    <n v="66.3"/>
    <s v="Unique"/>
    <s v="Valid"/>
    <s v="Valid"/>
    <s v="Valid"/>
    <s v="Valid"/>
    <s v="Valid"/>
    <s v="Outlier"/>
  </r>
  <r>
    <s v="USR-100745"/>
    <d v="2025-01-04T00:00:00"/>
    <x v="1"/>
    <x v="2"/>
    <x v="1"/>
    <x v="0"/>
    <x v="1"/>
    <n v="1"/>
    <n v="1"/>
    <n v="1"/>
    <n v="0"/>
    <n v="0"/>
    <n v="0"/>
    <n v="0"/>
    <m/>
    <n v="54.6"/>
    <s v="Unique"/>
    <s v="Valid"/>
    <s v="Valid"/>
    <s v="Valid"/>
    <s v="Valid"/>
    <s v="Valid"/>
    <s v="Outlier"/>
  </r>
  <r>
    <s v="USR-100746"/>
    <d v="2025-05-16T00:00:00"/>
    <x v="1"/>
    <x v="3"/>
    <x v="0"/>
    <x v="3"/>
    <x v="1"/>
    <n v="0"/>
    <n v="0"/>
    <n v="0"/>
    <n v="0"/>
    <n v="0"/>
    <n v="0"/>
    <n v="0"/>
    <m/>
    <n v="53.8"/>
    <s v="Unique"/>
    <s v="Valid"/>
    <s v="Valid"/>
    <s v="Valid"/>
    <s v="Valid"/>
    <s v="Valid"/>
    <s v="Outlier"/>
  </r>
  <r>
    <s v="USR-100747"/>
    <d v="2025-02-28T00:00:00"/>
    <x v="1"/>
    <x v="1"/>
    <x v="1"/>
    <x v="3"/>
    <x v="1"/>
    <n v="1"/>
    <n v="0"/>
    <n v="0"/>
    <n v="0"/>
    <n v="0"/>
    <n v="0"/>
    <n v="0"/>
    <m/>
    <n v="59.5"/>
    <s v="Unique"/>
    <s v="Valid"/>
    <s v="Valid"/>
    <s v="Valid"/>
    <s v="Valid"/>
    <s v="Valid"/>
    <s v="Outlier"/>
  </r>
  <r>
    <s v="USR-100748"/>
    <d v="2025-04-12T00:00:00"/>
    <x v="1"/>
    <x v="0"/>
    <x v="1"/>
    <x v="3"/>
    <x v="1"/>
    <n v="1"/>
    <n v="0"/>
    <n v="0"/>
    <n v="0"/>
    <n v="0"/>
    <n v="0"/>
    <n v="0"/>
    <m/>
    <n v="52.6"/>
    <s v="Unique"/>
    <s v="Valid"/>
    <s v="Valid"/>
    <s v="Valid"/>
    <s v="Valid"/>
    <s v="Valid"/>
    <s v="Outlier"/>
  </r>
  <r>
    <s v="USR-100749"/>
    <d v="2025-03-23T00:00:00"/>
    <x v="1"/>
    <x v="3"/>
    <x v="0"/>
    <x v="1"/>
    <x v="1"/>
    <n v="0"/>
    <n v="0"/>
    <n v="0"/>
    <n v="0"/>
    <n v="0"/>
    <n v="0"/>
    <n v="0"/>
    <m/>
    <n v="49"/>
    <s v="Unique"/>
    <s v="Valid"/>
    <s v="Valid"/>
    <s v="Valid"/>
    <s v="Valid"/>
    <s v="Valid"/>
    <s v="Outlier"/>
  </r>
  <r>
    <s v="USR-100750"/>
    <d v="2025-05-29T00:00:00"/>
    <x v="1"/>
    <x v="0"/>
    <x v="2"/>
    <x v="1"/>
    <x v="1"/>
    <n v="1"/>
    <n v="0"/>
    <n v="0"/>
    <n v="0"/>
    <n v="0"/>
    <n v="0"/>
    <n v="0"/>
    <m/>
    <n v="59.3"/>
    <s v="Unique"/>
    <s v="Valid"/>
    <s v="Valid"/>
    <s v="Valid"/>
    <s v="Valid"/>
    <s v="Valid"/>
    <s v="Outlier"/>
  </r>
  <r>
    <s v="USR-100751"/>
    <d v="2025-05-21T00:00:00"/>
    <x v="1"/>
    <x v="3"/>
    <x v="0"/>
    <x v="1"/>
    <x v="0"/>
    <n v="0"/>
    <n v="0"/>
    <n v="0"/>
    <n v="0"/>
    <n v="0"/>
    <n v="0"/>
    <n v="0"/>
    <m/>
    <n v="67.2"/>
    <s v="Unique"/>
    <s v="Valid"/>
    <s v="Valid"/>
    <s v="Valid"/>
    <s v="Valid"/>
    <s v="Valid"/>
    <s v="Outlier"/>
  </r>
  <r>
    <s v="USR-100752"/>
    <d v="2025-01-05T00:00:00"/>
    <x v="1"/>
    <x v="3"/>
    <x v="1"/>
    <x v="3"/>
    <x v="2"/>
    <n v="0"/>
    <n v="0"/>
    <n v="0"/>
    <n v="0"/>
    <n v="0"/>
    <n v="0"/>
    <n v="0"/>
    <m/>
    <n v="73.5"/>
    <s v="Unique"/>
    <s v="Valid"/>
    <s v="Valid"/>
    <s v="Valid"/>
    <s v="Valid"/>
    <s v="Valid"/>
    <s v="Outlier"/>
  </r>
  <r>
    <s v="USR-100753"/>
    <d v="2025-03-19T00:00:00"/>
    <x v="1"/>
    <x v="2"/>
    <x v="2"/>
    <x v="1"/>
    <x v="1"/>
    <n v="1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0754"/>
    <d v="2025-04-24T00:00:00"/>
    <x v="1"/>
    <x v="2"/>
    <x v="1"/>
    <x v="1"/>
    <x v="1"/>
    <n v="1"/>
    <n v="0"/>
    <n v="0"/>
    <n v="0"/>
    <n v="0"/>
    <n v="1"/>
    <n v="0"/>
    <m/>
    <n v="56.4"/>
    <s v="Unique"/>
    <s v="Valid"/>
    <s v="Valid"/>
    <s v="Valid"/>
    <s v="Valid"/>
    <s v="Valid"/>
    <s v="Outlier"/>
  </r>
  <r>
    <s v="USR-100755"/>
    <d v="2025-03-10T00:00:00"/>
    <x v="1"/>
    <x v="0"/>
    <x v="2"/>
    <x v="1"/>
    <x v="1"/>
    <n v="0"/>
    <n v="0"/>
    <n v="0"/>
    <n v="0"/>
    <n v="0"/>
    <n v="3"/>
    <n v="0"/>
    <m/>
    <n v="72.599999999999994"/>
    <s v="Unique"/>
    <s v="Valid"/>
    <s v="Valid"/>
    <s v="Valid"/>
    <s v="Valid"/>
    <s v="Valid"/>
    <s v="Outlier"/>
  </r>
  <r>
    <s v="USR-100756"/>
    <d v="2025-02-22T00:00:00"/>
    <x v="1"/>
    <x v="3"/>
    <x v="2"/>
    <x v="3"/>
    <x v="0"/>
    <n v="1"/>
    <n v="0"/>
    <n v="0"/>
    <n v="0"/>
    <n v="0"/>
    <n v="0"/>
    <n v="0"/>
    <m/>
    <n v="61.7"/>
    <s v="Unique"/>
    <s v="Valid"/>
    <s v="Valid"/>
    <s v="Valid"/>
    <s v="Valid"/>
    <s v="Valid"/>
    <s v="Outlier"/>
  </r>
  <r>
    <s v="USR-100757"/>
    <d v="2025-05-17T00:00:00"/>
    <x v="1"/>
    <x v="2"/>
    <x v="1"/>
    <x v="4"/>
    <x v="1"/>
    <n v="0"/>
    <n v="0"/>
    <n v="0"/>
    <n v="0"/>
    <n v="0"/>
    <n v="1"/>
    <n v="0"/>
    <m/>
    <n v="66.900000000000006"/>
    <s v="Unique"/>
    <s v="Valid"/>
    <s v="Valid"/>
    <s v="Valid"/>
    <s v="Valid"/>
    <s v="Valid"/>
    <s v="Outlier"/>
  </r>
  <r>
    <s v="USR-100758"/>
    <d v="2025-05-09T00:00:00"/>
    <x v="1"/>
    <x v="2"/>
    <x v="2"/>
    <x v="3"/>
    <x v="2"/>
    <n v="1"/>
    <n v="1"/>
    <n v="1"/>
    <n v="1"/>
    <n v="1506.24"/>
    <n v="1"/>
    <n v="0"/>
    <n v="7"/>
    <n v="64.900000000000006"/>
    <s v="Unique"/>
    <s v="Valid"/>
    <s v="Valid"/>
    <s v="Valid"/>
    <s v="Valid"/>
    <s v="Valid"/>
    <s v="Outlier"/>
  </r>
  <r>
    <s v="USR-100759"/>
    <d v="2025-04-26T00:00:00"/>
    <x v="1"/>
    <x v="2"/>
    <x v="2"/>
    <x v="1"/>
    <x v="2"/>
    <n v="1"/>
    <n v="0"/>
    <n v="0"/>
    <n v="0"/>
    <n v="0"/>
    <n v="0"/>
    <n v="0"/>
    <m/>
    <n v="57.5"/>
    <s v="Unique"/>
    <s v="Valid"/>
    <s v="Valid"/>
    <s v="Valid"/>
    <s v="Valid"/>
    <s v="Valid"/>
    <s v="Outlier"/>
  </r>
  <r>
    <s v="USR-100760"/>
    <d v="2025-03-15T00:00:00"/>
    <x v="1"/>
    <x v="1"/>
    <x v="0"/>
    <x v="4"/>
    <x v="1"/>
    <n v="1"/>
    <n v="1"/>
    <n v="1"/>
    <n v="0"/>
    <n v="0"/>
    <n v="0"/>
    <n v="0"/>
    <m/>
    <n v="76.3"/>
    <s v="Unique"/>
    <s v="Valid"/>
    <s v="Valid"/>
    <s v="Valid"/>
    <s v="Valid"/>
    <s v="Valid"/>
    <s v="Outlier"/>
  </r>
  <r>
    <s v="USR-100761"/>
    <d v="2025-04-03T00:00:00"/>
    <x v="1"/>
    <x v="0"/>
    <x v="1"/>
    <x v="2"/>
    <x v="1"/>
    <n v="0"/>
    <n v="0"/>
    <n v="0"/>
    <n v="0"/>
    <n v="0"/>
    <n v="0"/>
    <n v="0"/>
    <m/>
    <n v="47.5"/>
    <s v="Unique"/>
    <s v="Valid"/>
    <s v="Valid"/>
    <s v="Valid"/>
    <s v="Valid"/>
    <s v="Valid"/>
    <s v="Outlier"/>
  </r>
  <r>
    <s v="USR-100762"/>
    <d v="2025-03-26T00:00:00"/>
    <x v="1"/>
    <x v="3"/>
    <x v="1"/>
    <x v="2"/>
    <x v="1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0763"/>
    <d v="2025-02-05T00:00:00"/>
    <x v="1"/>
    <x v="1"/>
    <x v="0"/>
    <x v="1"/>
    <x v="0"/>
    <n v="1"/>
    <n v="1"/>
    <n v="0"/>
    <n v="0"/>
    <n v="0"/>
    <n v="2"/>
    <n v="0"/>
    <m/>
    <n v="71.599999999999994"/>
    <s v="Unique"/>
    <s v="Valid"/>
    <s v="Valid"/>
    <s v="Valid"/>
    <s v="Valid"/>
    <s v="Valid"/>
    <s v="Outlier"/>
  </r>
  <r>
    <s v="USR-100764"/>
    <d v="2025-05-08T00:00:00"/>
    <x v="1"/>
    <x v="3"/>
    <x v="1"/>
    <x v="4"/>
    <x v="0"/>
    <n v="1"/>
    <n v="1"/>
    <n v="0"/>
    <n v="0"/>
    <n v="0"/>
    <n v="0"/>
    <n v="0"/>
    <m/>
    <n v="55.8"/>
    <s v="Unique"/>
    <s v="Valid"/>
    <s v="Valid"/>
    <s v="Valid"/>
    <s v="Valid"/>
    <s v="Valid"/>
    <s v="Outlier"/>
  </r>
  <r>
    <s v="USR-100765"/>
    <d v="2025-03-25T00:00:00"/>
    <x v="1"/>
    <x v="3"/>
    <x v="0"/>
    <x v="1"/>
    <x v="0"/>
    <n v="0"/>
    <n v="0"/>
    <n v="0"/>
    <n v="0"/>
    <n v="0"/>
    <n v="1"/>
    <n v="0"/>
    <m/>
    <n v="60.1"/>
    <s v="Unique"/>
    <s v="Valid"/>
    <s v="Valid"/>
    <s v="Valid"/>
    <s v="Valid"/>
    <s v="Valid"/>
    <s v="Outlier"/>
  </r>
  <r>
    <s v="USR-100766"/>
    <d v="2025-01-14T00:00:00"/>
    <x v="1"/>
    <x v="1"/>
    <x v="3"/>
    <x v="0"/>
    <x v="0"/>
    <n v="1"/>
    <n v="1"/>
    <n v="1"/>
    <n v="0"/>
    <n v="0"/>
    <n v="1"/>
    <n v="0"/>
    <m/>
    <n v="59.3"/>
    <s v="Unique"/>
    <s v="Valid"/>
    <s v="Valid"/>
    <s v="Valid"/>
    <s v="Valid"/>
    <s v="Valid"/>
    <s v="Outlier"/>
  </r>
  <r>
    <s v="USR-100767"/>
    <d v="2025-03-26T00:00:00"/>
    <x v="1"/>
    <x v="0"/>
    <x v="1"/>
    <x v="1"/>
    <x v="1"/>
    <n v="1"/>
    <n v="1"/>
    <n v="0"/>
    <n v="0"/>
    <n v="0"/>
    <n v="2"/>
    <n v="0"/>
    <m/>
    <n v="49.3"/>
    <s v="Unique"/>
    <s v="Valid"/>
    <s v="Valid"/>
    <s v="Valid"/>
    <s v="Valid"/>
    <s v="Valid"/>
    <s v="Outlier"/>
  </r>
  <r>
    <s v="USR-100768"/>
    <d v="2025-01-16T00:00:00"/>
    <x v="1"/>
    <x v="2"/>
    <x v="1"/>
    <x v="3"/>
    <x v="1"/>
    <n v="1"/>
    <n v="0"/>
    <n v="0"/>
    <n v="0"/>
    <n v="0"/>
    <n v="0"/>
    <n v="0"/>
    <m/>
    <n v="75"/>
    <s v="Unique"/>
    <s v="Valid"/>
    <s v="Valid"/>
    <s v="Valid"/>
    <s v="Valid"/>
    <s v="Valid"/>
    <s v="Outlier"/>
  </r>
  <r>
    <s v="USR-100769"/>
    <d v="2025-01-04T00:00:00"/>
    <x v="1"/>
    <x v="2"/>
    <x v="1"/>
    <x v="4"/>
    <x v="1"/>
    <n v="1"/>
    <n v="0"/>
    <n v="0"/>
    <n v="0"/>
    <n v="0"/>
    <n v="0"/>
    <n v="0"/>
    <m/>
    <n v="70.2"/>
    <s v="Unique"/>
    <s v="Valid"/>
    <s v="Valid"/>
    <s v="Valid"/>
    <s v="Valid"/>
    <s v="Valid"/>
    <s v="Outlier"/>
  </r>
  <r>
    <s v="USR-100770"/>
    <d v="2025-02-09T00:00:00"/>
    <x v="1"/>
    <x v="3"/>
    <x v="0"/>
    <x v="1"/>
    <x v="2"/>
    <n v="1"/>
    <n v="1"/>
    <n v="1"/>
    <n v="0"/>
    <n v="0"/>
    <n v="0"/>
    <n v="0"/>
    <m/>
    <n v="56.6"/>
    <s v="Unique"/>
    <s v="Valid"/>
    <s v="Valid"/>
    <s v="Valid"/>
    <s v="Valid"/>
    <s v="Valid"/>
    <s v="Outlier"/>
  </r>
  <r>
    <s v="USR-100771"/>
    <d v="2025-03-05T00:00:00"/>
    <x v="1"/>
    <x v="2"/>
    <x v="0"/>
    <x v="1"/>
    <x v="1"/>
    <n v="1"/>
    <n v="0"/>
    <n v="0"/>
    <n v="0"/>
    <n v="0"/>
    <n v="0"/>
    <n v="0"/>
    <m/>
    <n v="65.400000000000006"/>
    <s v="Unique"/>
    <s v="Valid"/>
    <s v="Valid"/>
    <s v="Valid"/>
    <s v="Valid"/>
    <s v="Valid"/>
    <s v="Outlier"/>
  </r>
  <r>
    <s v="USR-100772"/>
    <d v="2025-03-10T00:00:00"/>
    <x v="1"/>
    <x v="2"/>
    <x v="1"/>
    <x v="3"/>
    <x v="0"/>
    <n v="1"/>
    <n v="0"/>
    <n v="0"/>
    <n v="0"/>
    <n v="0"/>
    <n v="0"/>
    <n v="0"/>
    <m/>
    <n v="47.6"/>
    <s v="Unique"/>
    <s v="Valid"/>
    <s v="Valid"/>
    <s v="Valid"/>
    <s v="Valid"/>
    <s v="Valid"/>
    <s v="Outlier"/>
  </r>
  <r>
    <s v="USR-100773"/>
    <d v="2025-02-27T00:00:00"/>
    <x v="1"/>
    <x v="2"/>
    <x v="0"/>
    <x v="2"/>
    <x v="1"/>
    <n v="1"/>
    <n v="0"/>
    <n v="0"/>
    <n v="0"/>
    <n v="0"/>
    <n v="0"/>
    <n v="0"/>
    <m/>
    <n v="56.7"/>
    <s v="Unique"/>
    <s v="Valid"/>
    <s v="Valid"/>
    <s v="Valid"/>
    <s v="Valid"/>
    <s v="Valid"/>
    <s v="Outlier"/>
  </r>
  <r>
    <s v="USR-100774"/>
    <d v="2025-03-10T00:00:00"/>
    <x v="1"/>
    <x v="0"/>
    <x v="0"/>
    <x v="3"/>
    <x v="0"/>
    <n v="1"/>
    <n v="1"/>
    <n v="0"/>
    <n v="0"/>
    <n v="0"/>
    <n v="0"/>
    <n v="0"/>
    <m/>
    <n v="71.400000000000006"/>
    <s v="Unique"/>
    <s v="Valid"/>
    <s v="Valid"/>
    <s v="Valid"/>
    <s v="Valid"/>
    <s v="Valid"/>
    <s v="Outlier"/>
  </r>
  <r>
    <s v="USR-100775"/>
    <d v="2025-04-23T00:00:00"/>
    <x v="1"/>
    <x v="1"/>
    <x v="1"/>
    <x v="4"/>
    <x v="1"/>
    <n v="0"/>
    <n v="0"/>
    <n v="0"/>
    <n v="0"/>
    <n v="0"/>
    <n v="2"/>
    <n v="0"/>
    <m/>
    <n v="60.5"/>
    <s v="Unique"/>
    <s v="Valid"/>
    <s v="Valid"/>
    <s v="Valid"/>
    <s v="Valid"/>
    <s v="Valid"/>
    <s v="Outlier"/>
  </r>
  <r>
    <s v="USR-100776"/>
    <d v="2025-04-12T00:00:00"/>
    <x v="1"/>
    <x v="0"/>
    <x v="0"/>
    <x v="2"/>
    <x v="1"/>
    <n v="1"/>
    <n v="0"/>
    <n v="0"/>
    <n v="0"/>
    <n v="0"/>
    <n v="0"/>
    <n v="0"/>
    <m/>
    <n v="46.7"/>
    <s v="Unique"/>
    <s v="Valid"/>
    <s v="Valid"/>
    <s v="Valid"/>
    <s v="Valid"/>
    <s v="Valid"/>
    <s v="Outlier"/>
  </r>
  <r>
    <s v="USR-100777"/>
    <d v="2025-01-26T00:00:00"/>
    <x v="1"/>
    <x v="2"/>
    <x v="0"/>
    <x v="3"/>
    <x v="1"/>
    <n v="0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0778"/>
    <d v="2025-05-24T00:00:00"/>
    <x v="1"/>
    <x v="1"/>
    <x v="2"/>
    <x v="2"/>
    <x v="1"/>
    <n v="0"/>
    <n v="0"/>
    <n v="0"/>
    <n v="0"/>
    <n v="0"/>
    <n v="0"/>
    <n v="0"/>
    <m/>
    <n v="60.9"/>
    <s v="Unique"/>
    <s v="Valid"/>
    <s v="Valid"/>
    <s v="Valid"/>
    <s v="Valid"/>
    <s v="Valid"/>
    <s v="Outlier"/>
  </r>
  <r>
    <s v="USR-100779"/>
    <d v="2025-01-08T00:00:00"/>
    <x v="1"/>
    <x v="3"/>
    <x v="1"/>
    <x v="1"/>
    <x v="1"/>
    <n v="1"/>
    <n v="0"/>
    <n v="0"/>
    <n v="0"/>
    <n v="0"/>
    <n v="0"/>
    <n v="0"/>
    <m/>
    <n v="67.099999999999994"/>
    <s v="Unique"/>
    <s v="Valid"/>
    <s v="Valid"/>
    <s v="Valid"/>
    <s v="Valid"/>
    <s v="Valid"/>
    <s v="Outlier"/>
  </r>
  <r>
    <s v="USR-100780"/>
    <d v="2025-04-15T00:00:00"/>
    <x v="1"/>
    <x v="0"/>
    <x v="1"/>
    <x v="3"/>
    <x v="1"/>
    <n v="1"/>
    <n v="1"/>
    <n v="0"/>
    <n v="0"/>
    <n v="0"/>
    <n v="0"/>
    <n v="0"/>
    <m/>
    <n v="59.6"/>
    <s v="Unique"/>
    <s v="Valid"/>
    <s v="Valid"/>
    <s v="Valid"/>
    <s v="Valid"/>
    <s v="Valid"/>
    <s v="Outlier"/>
  </r>
  <r>
    <s v="USR-100781"/>
    <d v="2025-01-15T00:00:00"/>
    <x v="1"/>
    <x v="3"/>
    <x v="0"/>
    <x v="2"/>
    <x v="1"/>
    <n v="1"/>
    <n v="0"/>
    <n v="0"/>
    <n v="0"/>
    <n v="0"/>
    <n v="0"/>
    <n v="0"/>
    <m/>
    <n v="83.8"/>
    <s v="Unique"/>
    <s v="Valid"/>
    <s v="Valid"/>
    <s v="Valid"/>
    <s v="Valid"/>
    <s v="Valid"/>
    <s v="Outlier"/>
  </r>
  <r>
    <s v="USR-100782"/>
    <d v="2025-02-28T00:00:00"/>
    <x v="1"/>
    <x v="0"/>
    <x v="1"/>
    <x v="1"/>
    <x v="0"/>
    <n v="1"/>
    <n v="1"/>
    <n v="1"/>
    <n v="0"/>
    <n v="0"/>
    <n v="0"/>
    <n v="0"/>
    <m/>
    <n v="70.8"/>
    <s v="Unique"/>
    <s v="Valid"/>
    <s v="Valid"/>
    <s v="Valid"/>
    <s v="Valid"/>
    <s v="Valid"/>
    <s v="Outlier"/>
  </r>
  <r>
    <s v="USR-100783"/>
    <d v="2025-01-01T00:00:00"/>
    <x v="1"/>
    <x v="0"/>
    <x v="2"/>
    <x v="1"/>
    <x v="0"/>
    <n v="0"/>
    <n v="0"/>
    <n v="0"/>
    <n v="0"/>
    <n v="0"/>
    <n v="0"/>
    <n v="0"/>
    <m/>
    <n v="65.900000000000006"/>
    <s v="Unique"/>
    <s v="Valid"/>
    <s v="Valid"/>
    <s v="Valid"/>
    <s v="Valid"/>
    <s v="Valid"/>
    <s v="Outlier"/>
  </r>
  <r>
    <s v="USR-100784"/>
    <d v="2025-04-17T00:00:00"/>
    <x v="1"/>
    <x v="1"/>
    <x v="1"/>
    <x v="3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0785"/>
    <d v="2025-02-19T00:00:00"/>
    <x v="1"/>
    <x v="0"/>
    <x v="1"/>
    <x v="0"/>
    <x v="0"/>
    <n v="1"/>
    <n v="1"/>
    <n v="0"/>
    <n v="0"/>
    <n v="0"/>
    <n v="0"/>
    <n v="0"/>
    <m/>
    <n v="80.3"/>
    <s v="Unique"/>
    <s v="Valid"/>
    <s v="Valid"/>
    <s v="Valid"/>
    <s v="Valid"/>
    <s v="Valid"/>
    <s v="Outlier"/>
  </r>
  <r>
    <s v="USR-100786"/>
    <d v="2025-03-14T00:00:00"/>
    <x v="1"/>
    <x v="0"/>
    <x v="0"/>
    <x v="1"/>
    <x v="1"/>
    <n v="1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787"/>
    <d v="2025-04-21T00:00:00"/>
    <x v="1"/>
    <x v="0"/>
    <x v="1"/>
    <x v="1"/>
    <x v="1"/>
    <n v="1"/>
    <n v="1"/>
    <n v="0"/>
    <n v="0"/>
    <n v="0"/>
    <n v="0"/>
    <n v="0"/>
    <m/>
    <n v="84.9"/>
    <s v="Unique"/>
    <s v="Valid"/>
    <s v="Valid"/>
    <s v="Valid"/>
    <s v="Valid"/>
    <s v="Valid"/>
    <s v="Outlier"/>
  </r>
  <r>
    <s v="USR-100788"/>
    <d v="2025-02-14T00:00:00"/>
    <x v="1"/>
    <x v="0"/>
    <x v="1"/>
    <x v="1"/>
    <x v="1"/>
    <n v="1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0789"/>
    <d v="2025-05-30T00:00:00"/>
    <x v="1"/>
    <x v="1"/>
    <x v="1"/>
    <x v="1"/>
    <x v="1"/>
    <n v="0"/>
    <n v="0"/>
    <n v="0"/>
    <n v="0"/>
    <n v="0"/>
    <n v="0"/>
    <n v="0"/>
    <m/>
    <n v="53.1"/>
    <s v="Unique"/>
    <s v="Valid"/>
    <s v="Valid"/>
    <s v="Valid"/>
    <s v="Valid"/>
    <s v="Valid"/>
    <s v="Outlier"/>
  </r>
  <r>
    <s v="USR-100790"/>
    <d v="2025-01-20T00:00:00"/>
    <x v="1"/>
    <x v="1"/>
    <x v="1"/>
    <x v="1"/>
    <x v="1"/>
    <n v="0"/>
    <n v="0"/>
    <n v="0"/>
    <n v="0"/>
    <n v="0"/>
    <n v="0"/>
    <n v="0"/>
    <m/>
    <n v="66"/>
    <s v="Unique"/>
    <s v="Valid"/>
    <s v="Valid"/>
    <s v="Valid"/>
    <s v="Valid"/>
    <s v="Valid"/>
    <s v="Outlier"/>
  </r>
  <r>
    <s v="USR-100791"/>
    <d v="2025-03-17T00:00:00"/>
    <x v="1"/>
    <x v="1"/>
    <x v="1"/>
    <x v="4"/>
    <x v="2"/>
    <n v="0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0792"/>
    <d v="2025-03-04T00:00:00"/>
    <x v="1"/>
    <x v="1"/>
    <x v="1"/>
    <x v="4"/>
    <x v="1"/>
    <n v="1"/>
    <n v="1"/>
    <n v="0"/>
    <n v="0"/>
    <n v="0"/>
    <n v="1"/>
    <n v="0"/>
    <m/>
    <n v="41.2"/>
    <s v="Unique"/>
    <s v="Valid"/>
    <s v="Valid"/>
    <s v="Valid"/>
    <s v="Valid"/>
    <s v="Valid"/>
    <s v="Outlier"/>
  </r>
  <r>
    <s v="USR-100793"/>
    <d v="2025-02-22T00:00:00"/>
    <x v="1"/>
    <x v="3"/>
    <x v="1"/>
    <x v="1"/>
    <x v="2"/>
    <n v="0"/>
    <n v="0"/>
    <n v="0"/>
    <n v="0"/>
    <n v="0"/>
    <n v="0"/>
    <n v="0"/>
    <m/>
    <n v="66.7"/>
    <s v="Unique"/>
    <s v="Valid"/>
    <s v="Valid"/>
    <s v="Valid"/>
    <s v="Valid"/>
    <s v="Valid"/>
    <s v="Outlier"/>
  </r>
  <r>
    <s v="USR-100794"/>
    <d v="2025-05-02T00:00:00"/>
    <x v="1"/>
    <x v="0"/>
    <x v="1"/>
    <x v="2"/>
    <x v="2"/>
    <n v="0"/>
    <n v="0"/>
    <n v="0"/>
    <n v="0"/>
    <n v="0"/>
    <n v="0"/>
    <n v="0"/>
    <m/>
    <n v="39.4"/>
    <s v="Unique"/>
    <s v="Valid"/>
    <s v="Valid"/>
    <s v="Valid"/>
    <s v="Valid"/>
    <s v="Valid"/>
    <s v="Outlier"/>
  </r>
  <r>
    <s v="USR-100795"/>
    <d v="2025-03-13T00:00:00"/>
    <x v="1"/>
    <x v="1"/>
    <x v="0"/>
    <x v="1"/>
    <x v="2"/>
    <n v="0"/>
    <n v="0"/>
    <n v="0"/>
    <n v="0"/>
    <n v="0"/>
    <n v="3"/>
    <n v="0"/>
    <m/>
    <n v="67"/>
    <s v="Unique"/>
    <s v="Valid"/>
    <s v="Valid"/>
    <s v="Valid"/>
    <s v="Valid"/>
    <s v="Valid"/>
    <s v="Outlier"/>
  </r>
  <r>
    <s v="USR-100796"/>
    <d v="2025-05-31T00:00:00"/>
    <x v="1"/>
    <x v="3"/>
    <x v="1"/>
    <x v="1"/>
    <x v="0"/>
    <n v="1"/>
    <n v="0"/>
    <n v="0"/>
    <n v="0"/>
    <n v="0"/>
    <n v="0"/>
    <n v="0"/>
    <m/>
    <n v="50.4"/>
    <s v="Unique"/>
    <s v="Valid"/>
    <s v="Valid"/>
    <s v="Valid"/>
    <s v="Valid"/>
    <s v="Valid"/>
    <s v="Outlier"/>
  </r>
  <r>
    <s v="USR-100797"/>
    <d v="2025-03-07T00:00:00"/>
    <x v="1"/>
    <x v="1"/>
    <x v="0"/>
    <x v="4"/>
    <x v="1"/>
    <n v="1"/>
    <n v="0"/>
    <n v="0"/>
    <n v="0"/>
    <n v="0"/>
    <n v="0"/>
    <n v="0"/>
    <m/>
    <n v="53.8"/>
    <s v="Unique"/>
    <s v="Valid"/>
    <s v="Valid"/>
    <s v="Valid"/>
    <s v="Valid"/>
    <s v="Valid"/>
    <s v="Outlier"/>
  </r>
  <r>
    <s v="USR-100798"/>
    <d v="2025-02-22T00:00:00"/>
    <x v="1"/>
    <x v="1"/>
    <x v="1"/>
    <x v="2"/>
    <x v="0"/>
    <n v="0"/>
    <n v="0"/>
    <n v="0"/>
    <n v="0"/>
    <n v="0"/>
    <n v="1"/>
    <n v="0"/>
    <m/>
    <n v="82.7"/>
    <s v="Unique"/>
    <s v="Valid"/>
    <s v="Valid"/>
    <s v="Valid"/>
    <s v="Valid"/>
    <s v="Valid"/>
    <s v="Outlier"/>
  </r>
  <r>
    <s v="USR-100799"/>
    <d v="2025-01-05T00:00:00"/>
    <x v="1"/>
    <x v="1"/>
    <x v="0"/>
    <x v="2"/>
    <x v="1"/>
    <n v="1"/>
    <n v="1"/>
    <n v="1"/>
    <n v="0"/>
    <n v="0"/>
    <n v="0"/>
    <n v="0"/>
    <m/>
    <n v="63.9"/>
    <s v="Unique"/>
    <s v="Valid"/>
    <s v="Valid"/>
    <s v="Valid"/>
    <s v="Valid"/>
    <s v="Valid"/>
    <s v="Outlier"/>
  </r>
  <r>
    <s v="USR-100800"/>
    <d v="2025-01-21T00:00:00"/>
    <x v="1"/>
    <x v="1"/>
    <x v="1"/>
    <x v="3"/>
    <x v="1"/>
    <n v="1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801"/>
    <d v="2025-01-25T00:00:00"/>
    <x v="1"/>
    <x v="0"/>
    <x v="0"/>
    <x v="4"/>
    <x v="1"/>
    <n v="1"/>
    <n v="1"/>
    <n v="1"/>
    <n v="0"/>
    <n v="0"/>
    <n v="0"/>
    <n v="0"/>
    <m/>
    <n v="75"/>
    <s v="Unique"/>
    <s v="Valid"/>
    <s v="Valid"/>
    <s v="Valid"/>
    <s v="Valid"/>
    <s v="Valid"/>
    <s v="Outlier"/>
  </r>
  <r>
    <s v="USR-100802"/>
    <d v="2025-04-04T00:00:00"/>
    <x v="1"/>
    <x v="1"/>
    <x v="1"/>
    <x v="2"/>
    <x v="0"/>
    <n v="1"/>
    <n v="1"/>
    <n v="1"/>
    <n v="0"/>
    <n v="0"/>
    <n v="0"/>
    <n v="0"/>
    <m/>
    <n v="43"/>
    <s v="Unique"/>
    <s v="Valid"/>
    <s v="Valid"/>
    <s v="Valid"/>
    <s v="Valid"/>
    <s v="Valid"/>
    <s v="Outlier"/>
  </r>
  <r>
    <s v="USR-100803"/>
    <d v="2025-03-25T00:00:00"/>
    <x v="1"/>
    <x v="0"/>
    <x v="0"/>
    <x v="4"/>
    <x v="2"/>
    <n v="0"/>
    <n v="0"/>
    <n v="0"/>
    <n v="0"/>
    <n v="0"/>
    <n v="0"/>
    <n v="0"/>
    <m/>
    <n v="54.3"/>
    <s v="Unique"/>
    <s v="Valid"/>
    <s v="Valid"/>
    <s v="Valid"/>
    <s v="Valid"/>
    <s v="Valid"/>
    <s v="Outlier"/>
  </r>
  <r>
    <s v="USR-100804"/>
    <d v="2025-03-19T00:00:00"/>
    <x v="1"/>
    <x v="1"/>
    <x v="1"/>
    <x v="4"/>
    <x v="1"/>
    <n v="0"/>
    <n v="0"/>
    <n v="0"/>
    <n v="0"/>
    <n v="0"/>
    <n v="2"/>
    <n v="0"/>
    <m/>
    <n v="44.3"/>
    <s v="Unique"/>
    <s v="Valid"/>
    <s v="Valid"/>
    <s v="Valid"/>
    <s v="Valid"/>
    <s v="Valid"/>
    <s v="Outlier"/>
  </r>
  <r>
    <s v="USR-100805"/>
    <d v="2025-04-24T00:00:00"/>
    <x v="1"/>
    <x v="1"/>
    <x v="0"/>
    <x v="1"/>
    <x v="1"/>
    <n v="1"/>
    <n v="1"/>
    <n v="1"/>
    <n v="1"/>
    <n v="402.88"/>
    <n v="0"/>
    <n v="0"/>
    <n v="12"/>
    <n v="76"/>
    <s v="Unique"/>
    <s v="Valid"/>
    <s v="Valid"/>
    <s v="Valid"/>
    <s v="Valid"/>
    <s v="Valid"/>
    <s v="Outlier"/>
  </r>
  <r>
    <s v="USR-100806"/>
    <d v="2025-04-04T00:00:00"/>
    <x v="1"/>
    <x v="3"/>
    <x v="2"/>
    <x v="1"/>
    <x v="1"/>
    <n v="1"/>
    <n v="0"/>
    <n v="0"/>
    <n v="0"/>
    <n v="0"/>
    <n v="2"/>
    <n v="0"/>
    <m/>
    <n v="65.3"/>
    <s v="Unique"/>
    <s v="Valid"/>
    <s v="Valid"/>
    <s v="Valid"/>
    <s v="Valid"/>
    <s v="Valid"/>
    <s v="Outlier"/>
  </r>
  <r>
    <s v="USR-100807"/>
    <d v="2025-03-28T00:00:00"/>
    <x v="1"/>
    <x v="3"/>
    <x v="0"/>
    <x v="2"/>
    <x v="2"/>
    <n v="1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0808"/>
    <d v="2025-05-15T00:00:00"/>
    <x v="1"/>
    <x v="3"/>
    <x v="2"/>
    <x v="2"/>
    <x v="1"/>
    <n v="1"/>
    <n v="0"/>
    <n v="0"/>
    <n v="0"/>
    <n v="0"/>
    <n v="0"/>
    <n v="0"/>
    <m/>
    <n v="77.900000000000006"/>
    <s v="Unique"/>
    <s v="Valid"/>
    <s v="Valid"/>
    <s v="Valid"/>
    <s v="Valid"/>
    <s v="Valid"/>
    <s v="Outlier"/>
  </r>
  <r>
    <s v="USR-100809"/>
    <d v="2025-03-13T00:00:00"/>
    <x v="1"/>
    <x v="1"/>
    <x v="1"/>
    <x v="2"/>
    <x v="1"/>
    <n v="0"/>
    <n v="0"/>
    <n v="0"/>
    <n v="0"/>
    <n v="0"/>
    <n v="0"/>
    <n v="0"/>
    <m/>
    <n v="48.6"/>
    <s v="Unique"/>
    <s v="Valid"/>
    <s v="Valid"/>
    <s v="Valid"/>
    <s v="Valid"/>
    <s v="Valid"/>
    <s v="Outlier"/>
  </r>
  <r>
    <s v="USR-100810"/>
    <d v="2025-03-26T00:00:00"/>
    <x v="1"/>
    <x v="0"/>
    <x v="1"/>
    <x v="4"/>
    <x v="2"/>
    <n v="1"/>
    <n v="0"/>
    <n v="0"/>
    <n v="0"/>
    <n v="0"/>
    <n v="0"/>
    <n v="0"/>
    <m/>
    <n v="61.9"/>
    <s v="Unique"/>
    <s v="Valid"/>
    <s v="Valid"/>
    <s v="Valid"/>
    <s v="Valid"/>
    <s v="Valid"/>
    <s v="Outlier"/>
  </r>
  <r>
    <s v="USR-100811"/>
    <d v="2025-01-09T00:00:00"/>
    <x v="1"/>
    <x v="0"/>
    <x v="1"/>
    <x v="4"/>
    <x v="0"/>
    <n v="0"/>
    <n v="0"/>
    <n v="0"/>
    <n v="0"/>
    <n v="0"/>
    <n v="1"/>
    <n v="0"/>
    <m/>
    <n v="58.7"/>
    <s v="Unique"/>
    <s v="Valid"/>
    <s v="Valid"/>
    <s v="Valid"/>
    <s v="Valid"/>
    <s v="Valid"/>
    <s v="Outlier"/>
  </r>
  <r>
    <s v="USR-100812"/>
    <d v="2025-05-06T00:00:00"/>
    <x v="1"/>
    <x v="3"/>
    <x v="0"/>
    <x v="2"/>
    <x v="1"/>
    <n v="1"/>
    <n v="0"/>
    <n v="0"/>
    <n v="0"/>
    <n v="0"/>
    <n v="0"/>
    <n v="0"/>
    <m/>
    <n v="69.599999999999994"/>
    <s v="Unique"/>
    <s v="Valid"/>
    <s v="Valid"/>
    <s v="Valid"/>
    <s v="Valid"/>
    <s v="Valid"/>
    <s v="Outlier"/>
  </r>
  <r>
    <s v="USR-100813"/>
    <d v="2025-02-17T00:00:00"/>
    <x v="1"/>
    <x v="3"/>
    <x v="1"/>
    <x v="1"/>
    <x v="1"/>
    <n v="1"/>
    <n v="0"/>
    <n v="0"/>
    <n v="0"/>
    <n v="0"/>
    <n v="0"/>
    <n v="0"/>
    <m/>
    <n v="51.5"/>
    <s v="Unique"/>
    <s v="Valid"/>
    <s v="Valid"/>
    <s v="Valid"/>
    <s v="Valid"/>
    <s v="Valid"/>
    <s v="Outlier"/>
  </r>
  <r>
    <s v="USR-100814"/>
    <d v="2025-04-05T00:00:00"/>
    <x v="1"/>
    <x v="2"/>
    <x v="1"/>
    <x v="2"/>
    <x v="1"/>
    <n v="1"/>
    <n v="1"/>
    <n v="1"/>
    <n v="1"/>
    <n v="277.69"/>
    <n v="3"/>
    <n v="0"/>
    <n v="8"/>
    <n v="46"/>
    <s v="Unique"/>
    <s v="Valid"/>
    <s v="Valid"/>
    <s v="Valid"/>
    <s v="Valid"/>
    <s v="Valid"/>
    <s v="Outlier"/>
  </r>
  <r>
    <s v="USR-100815"/>
    <d v="2025-04-13T00:00:00"/>
    <x v="1"/>
    <x v="1"/>
    <x v="2"/>
    <x v="1"/>
    <x v="1"/>
    <n v="1"/>
    <n v="0"/>
    <n v="0"/>
    <n v="0"/>
    <n v="0"/>
    <n v="0"/>
    <n v="0"/>
    <m/>
    <n v="81.7"/>
    <s v="Unique"/>
    <s v="Valid"/>
    <s v="Valid"/>
    <s v="Valid"/>
    <s v="Valid"/>
    <s v="Valid"/>
    <s v="Outlier"/>
  </r>
  <r>
    <s v="USR-100816"/>
    <d v="2025-05-20T00:00:00"/>
    <x v="1"/>
    <x v="2"/>
    <x v="0"/>
    <x v="3"/>
    <x v="1"/>
    <n v="1"/>
    <n v="0"/>
    <n v="0"/>
    <n v="0"/>
    <n v="0"/>
    <n v="0"/>
    <n v="0"/>
    <m/>
    <n v="48.3"/>
    <s v="Unique"/>
    <s v="Valid"/>
    <s v="Valid"/>
    <s v="Valid"/>
    <s v="Valid"/>
    <s v="Valid"/>
    <s v="Outlier"/>
  </r>
  <r>
    <s v="USR-100817"/>
    <d v="2025-03-31T00:00:00"/>
    <x v="1"/>
    <x v="2"/>
    <x v="1"/>
    <x v="0"/>
    <x v="1"/>
    <n v="1"/>
    <n v="1"/>
    <n v="0"/>
    <n v="0"/>
    <n v="0"/>
    <n v="0"/>
    <n v="0"/>
    <m/>
    <n v="85.6"/>
    <s v="Unique"/>
    <s v="Valid"/>
    <s v="Valid"/>
    <s v="Valid"/>
    <s v="Valid"/>
    <s v="Valid"/>
    <s v="Outlier"/>
  </r>
  <r>
    <s v="USR-100818"/>
    <d v="2025-04-03T00:00:00"/>
    <x v="1"/>
    <x v="1"/>
    <x v="2"/>
    <x v="2"/>
    <x v="0"/>
    <n v="1"/>
    <n v="0"/>
    <n v="0"/>
    <n v="0"/>
    <n v="0"/>
    <n v="0"/>
    <n v="0"/>
    <m/>
    <n v="53.8"/>
    <s v="Unique"/>
    <s v="Valid"/>
    <s v="Valid"/>
    <s v="Valid"/>
    <s v="Valid"/>
    <s v="Valid"/>
    <s v="Outlier"/>
  </r>
  <r>
    <s v="USR-100819"/>
    <d v="2025-02-04T00:00:00"/>
    <x v="1"/>
    <x v="3"/>
    <x v="1"/>
    <x v="1"/>
    <x v="1"/>
    <n v="1"/>
    <n v="1"/>
    <n v="1"/>
    <n v="1"/>
    <n v="460.83"/>
    <n v="2"/>
    <n v="0"/>
    <n v="0"/>
    <n v="69.7"/>
    <s v="Unique"/>
    <s v="Valid"/>
    <s v="Valid"/>
    <s v="Valid"/>
    <s v="Valid"/>
    <s v="Valid"/>
    <s v="Outlier"/>
  </r>
  <r>
    <s v="USR-100820"/>
    <d v="2025-05-19T00:00:00"/>
    <x v="1"/>
    <x v="2"/>
    <x v="1"/>
    <x v="1"/>
    <x v="1"/>
    <n v="1"/>
    <n v="0"/>
    <n v="0"/>
    <n v="0"/>
    <n v="0"/>
    <n v="0"/>
    <n v="0"/>
    <m/>
    <n v="74.8"/>
    <s v="Unique"/>
    <s v="Valid"/>
    <s v="Valid"/>
    <s v="Valid"/>
    <s v="Valid"/>
    <s v="Valid"/>
    <s v="Outlier"/>
  </r>
  <r>
    <s v="USR-100821"/>
    <d v="2025-03-08T00:00:00"/>
    <x v="1"/>
    <x v="2"/>
    <x v="0"/>
    <x v="2"/>
    <x v="0"/>
    <n v="0"/>
    <n v="0"/>
    <n v="0"/>
    <n v="0"/>
    <n v="0"/>
    <n v="0"/>
    <n v="0"/>
    <m/>
    <n v="87.9"/>
    <s v="Unique"/>
    <s v="Valid"/>
    <s v="Valid"/>
    <s v="Valid"/>
    <s v="Valid"/>
    <s v="Valid"/>
    <s v="Outlier"/>
  </r>
  <r>
    <s v="USR-100822"/>
    <d v="2025-05-10T00:00:00"/>
    <x v="1"/>
    <x v="0"/>
    <x v="1"/>
    <x v="4"/>
    <x v="0"/>
    <n v="1"/>
    <n v="0"/>
    <n v="0"/>
    <n v="0"/>
    <n v="0"/>
    <n v="1"/>
    <n v="0"/>
    <m/>
    <n v="49.1"/>
    <s v="Unique"/>
    <s v="Valid"/>
    <s v="Valid"/>
    <s v="Valid"/>
    <s v="Valid"/>
    <s v="Valid"/>
    <s v="Outlier"/>
  </r>
  <r>
    <s v="USR-100823"/>
    <d v="2025-01-02T00:00:00"/>
    <x v="1"/>
    <x v="2"/>
    <x v="0"/>
    <x v="4"/>
    <x v="0"/>
    <n v="1"/>
    <n v="0"/>
    <n v="0"/>
    <n v="0"/>
    <n v="0"/>
    <n v="2"/>
    <n v="0"/>
    <m/>
    <n v="73"/>
    <s v="Unique"/>
    <s v="Valid"/>
    <s v="Valid"/>
    <s v="Valid"/>
    <s v="Valid"/>
    <s v="Valid"/>
    <s v="Outlier"/>
  </r>
  <r>
    <s v="USR-100824"/>
    <d v="2025-01-17T00:00:00"/>
    <x v="1"/>
    <x v="1"/>
    <x v="1"/>
    <x v="1"/>
    <x v="0"/>
    <n v="0"/>
    <n v="0"/>
    <n v="0"/>
    <n v="0"/>
    <n v="0"/>
    <n v="0"/>
    <n v="0"/>
    <m/>
    <n v="79.5"/>
    <s v="Unique"/>
    <s v="Valid"/>
    <s v="Valid"/>
    <s v="Valid"/>
    <s v="Valid"/>
    <s v="Valid"/>
    <s v="Outlier"/>
  </r>
  <r>
    <s v="USR-100825"/>
    <d v="2025-05-21T00:00:00"/>
    <x v="1"/>
    <x v="1"/>
    <x v="1"/>
    <x v="3"/>
    <x v="0"/>
    <n v="1"/>
    <n v="1"/>
    <n v="1"/>
    <n v="1"/>
    <n v="782.23"/>
    <n v="1"/>
    <n v="0"/>
    <n v="6"/>
    <n v="93.2"/>
    <s v="Unique"/>
    <s v="Valid"/>
    <s v="Valid"/>
    <s v="Valid"/>
    <s v="Valid"/>
    <s v="Valid"/>
    <s v="Outlier"/>
  </r>
  <r>
    <s v="USR-100826"/>
    <d v="2025-05-25T00:00:00"/>
    <x v="1"/>
    <x v="2"/>
    <x v="0"/>
    <x v="3"/>
    <x v="1"/>
    <n v="1"/>
    <n v="0"/>
    <n v="0"/>
    <n v="0"/>
    <n v="0"/>
    <n v="3"/>
    <n v="0"/>
    <m/>
    <n v="77.5"/>
    <s v="Unique"/>
    <s v="Valid"/>
    <s v="Valid"/>
    <s v="Valid"/>
    <s v="Valid"/>
    <s v="Valid"/>
    <s v="Outlier"/>
  </r>
  <r>
    <s v="USR-100827"/>
    <d v="2025-01-05T00:00:00"/>
    <x v="1"/>
    <x v="1"/>
    <x v="1"/>
    <x v="0"/>
    <x v="0"/>
    <n v="1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0828"/>
    <d v="2025-02-24T00:00:00"/>
    <x v="1"/>
    <x v="3"/>
    <x v="0"/>
    <x v="1"/>
    <x v="1"/>
    <n v="1"/>
    <n v="1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829"/>
    <d v="2025-01-21T00:00:00"/>
    <x v="1"/>
    <x v="2"/>
    <x v="1"/>
    <x v="2"/>
    <x v="0"/>
    <n v="1"/>
    <n v="0"/>
    <n v="0"/>
    <n v="0"/>
    <n v="0"/>
    <n v="0"/>
    <n v="0"/>
    <m/>
    <n v="87.5"/>
    <s v="Unique"/>
    <s v="Valid"/>
    <s v="Valid"/>
    <s v="Valid"/>
    <s v="Valid"/>
    <s v="Valid"/>
    <s v="Outlier"/>
  </r>
  <r>
    <s v="USR-100830"/>
    <d v="2025-04-24T00:00:00"/>
    <x v="1"/>
    <x v="0"/>
    <x v="1"/>
    <x v="1"/>
    <x v="0"/>
    <n v="1"/>
    <n v="1"/>
    <n v="1"/>
    <n v="1"/>
    <n v="1171.99"/>
    <n v="0"/>
    <n v="0"/>
    <n v="5"/>
    <n v="80.599999999999994"/>
    <s v="Unique"/>
    <s v="Valid"/>
    <s v="Valid"/>
    <s v="Valid"/>
    <s v="Valid"/>
    <s v="Valid"/>
    <s v="Outlier"/>
  </r>
  <r>
    <s v="USR-100831"/>
    <d v="2025-01-07T00:00:00"/>
    <x v="1"/>
    <x v="1"/>
    <x v="0"/>
    <x v="1"/>
    <x v="1"/>
    <n v="1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832"/>
    <d v="2025-05-31T00:00:00"/>
    <x v="1"/>
    <x v="3"/>
    <x v="2"/>
    <x v="1"/>
    <x v="0"/>
    <n v="1"/>
    <n v="1"/>
    <n v="1"/>
    <n v="0"/>
    <n v="0"/>
    <n v="0"/>
    <n v="0"/>
    <m/>
    <n v="58.8"/>
    <s v="Unique"/>
    <s v="Valid"/>
    <s v="Valid"/>
    <s v="Valid"/>
    <s v="Valid"/>
    <s v="Valid"/>
    <s v="Outlier"/>
  </r>
  <r>
    <s v="USR-100833"/>
    <d v="2025-04-02T00:00:00"/>
    <x v="1"/>
    <x v="0"/>
    <x v="0"/>
    <x v="1"/>
    <x v="0"/>
    <n v="1"/>
    <n v="1"/>
    <n v="1"/>
    <n v="1"/>
    <n v="1010.4"/>
    <n v="0"/>
    <n v="0"/>
    <n v="4"/>
    <n v="42.9"/>
    <s v="Unique"/>
    <s v="Valid"/>
    <s v="Valid"/>
    <s v="Valid"/>
    <s v="Valid"/>
    <s v="Valid"/>
    <s v="Outlier"/>
  </r>
  <r>
    <s v="USR-100834"/>
    <d v="2025-04-21T00:00:00"/>
    <x v="1"/>
    <x v="2"/>
    <x v="1"/>
    <x v="1"/>
    <x v="1"/>
    <n v="1"/>
    <n v="1"/>
    <n v="1"/>
    <n v="0"/>
    <n v="0"/>
    <n v="1"/>
    <n v="0"/>
    <m/>
    <n v="60.2"/>
    <s v="Unique"/>
    <s v="Valid"/>
    <s v="Valid"/>
    <s v="Valid"/>
    <s v="Valid"/>
    <s v="Valid"/>
    <s v="Outlier"/>
  </r>
  <r>
    <s v="USR-100835"/>
    <d v="2025-05-05T00:00:00"/>
    <x v="1"/>
    <x v="2"/>
    <x v="1"/>
    <x v="2"/>
    <x v="0"/>
    <n v="1"/>
    <n v="0"/>
    <n v="0"/>
    <n v="0"/>
    <n v="0"/>
    <n v="0"/>
    <n v="0"/>
    <m/>
    <n v="42.7"/>
    <s v="Unique"/>
    <s v="Valid"/>
    <s v="Valid"/>
    <s v="Valid"/>
    <s v="Valid"/>
    <s v="Valid"/>
    <s v="Outlier"/>
  </r>
  <r>
    <s v="USR-100836"/>
    <d v="2025-01-06T00:00:00"/>
    <x v="1"/>
    <x v="0"/>
    <x v="0"/>
    <x v="4"/>
    <x v="1"/>
    <n v="1"/>
    <n v="1"/>
    <n v="1"/>
    <n v="1"/>
    <n v="431.27"/>
    <n v="0"/>
    <n v="0"/>
    <n v="7"/>
    <n v="60.8"/>
    <s v="Unique"/>
    <s v="Valid"/>
    <s v="Valid"/>
    <s v="Valid"/>
    <s v="Valid"/>
    <s v="Valid"/>
    <s v="Outlier"/>
  </r>
  <r>
    <s v="USR-100837"/>
    <d v="2025-04-24T00:00:00"/>
    <x v="1"/>
    <x v="3"/>
    <x v="1"/>
    <x v="3"/>
    <x v="1"/>
    <n v="1"/>
    <n v="1"/>
    <n v="1"/>
    <n v="1"/>
    <n v="428.8"/>
    <n v="0"/>
    <n v="0"/>
    <n v="9"/>
    <n v="79.3"/>
    <s v="Unique"/>
    <s v="Valid"/>
    <s v="Valid"/>
    <s v="Valid"/>
    <s v="Valid"/>
    <s v="Valid"/>
    <s v="Outlier"/>
  </r>
  <r>
    <s v="USR-100838"/>
    <d v="2025-04-21T00:00:00"/>
    <x v="1"/>
    <x v="3"/>
    <x v="1"/>
    <x v="1"/>
    <x v="0"/>
    <n v="1"/>
    <n v="0"/>
    <n v="0"/>
    <n v="0"/>
    <n v="0"/>
    <n v="1"/>
    <n v="0"/>
    <m/>
    <n v="88.6"/>
    <s v="Unique"/>
    <s v="Valid"/>
    <s v="Valid"/>
    <s v="Valid"/>
    <s v="Valid"/>
    <s v="Valid"/>
    <s v="Outlier"/>
  </r>
  <r>
    <s v="USR-100839"/>
    <d v="2025-02-09T00:00:00"/>
    <x v="1"/>
    <x v="1"/>
    <x v="1"/>
    <x v="1"/>
    <x v="0"/>
    <n v="1"/>
    <n v="1"/>
    <n v="1"/>
    <n v="0"/>
    <n v="0"/>
    <n v="0"/>
    <n v="0"/>
    <m/>
    <n v="63.1"/>
    <s v="Unique"/>
    <s v="Valid"/>
    <s v="Valid"/>
    <s v="Valid"/>
    <s v="Valid"/>
    <s v="Valid"/>
    <s v="Outlier"/>
  </r>
  <r>
    <s v="USR-100840"/>
    <d v="2025-01-09T00:00:00"/>
    <x v="1"/>
    <x v="2"/>
    <x v="1"/>
    <x v="1"/>
    <x v="2"/>
    <n v="1"/>
    <n v="0"/>
    <n v="0"/>
    <n v="0"/>
    <n v="0"/>
    <n v="0"/>
    <n v="0"/>
    <m/>
    <n v="39.700000000000003"/>
    <s v="Unique"/>
    <s v="Valid"/>
    <s v="Valid"/>
    <s v="Valid"/>
    <s v="Valid"/>
    <s v="Valid"/>
    <s v="Outlier"/>
  </r>
  <r>
    <s v="USR-100841"/>
    <d v="2025-02-16T00:00:00"/>
    <x v="1"/>
    <x v="0"/>
    <x v="1"/>
    <x v="2"/>
    <x v="0"/>
    <n v="0"/>
    <n v="0"/>
    <n v="0"/>
    <n v="0"/>
    <n v="0"/>
    <n v="0"/>
    <n v="0"/>
    <m/>
    <n v="67.2"/>
    <s v="Unique"/>
    <s v="Valid"/>
    <s v="Valid"/>
    <s v="Valid"/>
    <s v="Valid"/>
    <s v="Valid"/>
    <s v="Outlier"/>
  </r>
  <r>
    <s v="USR-100842"/>
    <d v="2025-02-21T00:00:00"/>
    <x v="1"/>
    <x v="3"/>
    <x v="1"/>
    <x v="1"/>
    <x v="1"/>
    <n v="1"/>
    <n v="1"/>
    <n v="1"/>
    <n v="0"/>
    <n v="0"/>
    <n v="0"/>
    <n v="0"/>
    <m/>
    <n v="62.3"/>
    <s v="Unique"/>
    <s v="Valid"/>
    <s v="Valid"/>
    <s v="Valid"/>
    <s v="Valid"/>
    <s v="Valid"/>
    <s v="Outlier"/>
  </r>
  <r>
    <s v="USR-100843"/>
    <d v="2025-02-08T00:00:00"/>
    <x v="1"/>
    <x v="3"/>
    <x v="1"/>
    <x v="1"/>
    <x v="2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0844"/>
    <d v="2025-01-22T00:00:00"/>
    <x v="1"/>
    <x v="3"/>
    <x v="1"/>
    <x v="2"/>
    <x v="2"/>
    <n v="0"/>
    <n v="0"/>
    <n v="0"/>
    <n v="0"/>
    <n v="0"/>
    <n v="0"/>
    <n v="0"/>
    <m/>
    <n v="60.7"/>
    <s v="Unique"/>
    <s v="Valid"/>
    <s v="Valid"/>
    <s v="Valid"/>
    <s v="Valid"/>
    <s v="Valid"/>
    <s v="Outlier"/>
  </r>
  <r>
    <s v="USR-100845"/>
    <d v="2025-04-01T00:00:00"/>
    <x v="1"/>
    <x v="1"/>
    <x v="1"/>
    <x v="1"/>
    <x v="0"/>
    <n v="1"/>
    <n v="0"/>
    <n v="0"/>
    <n v="0"/>
    <n v="0"/>
    <n v="0"/>
    <n v="0"/>
    <m/>
    <n v="61.5"/>
    <s v="Unique"/>
    <s v="Valid"/>
    <s v="Valid"/>
    <s v="Valid"/>
    <s v="Valid"/>
    <s v="Valid"/>
    <s v="Outlier"/>
  </r>
  <r>
    <s v="USR-100846"/>
    <d v="2025-01-21T00:00:00"/>
    <x v="1"/>
    <x v="0"/>
    <x v="1"/>
    <x v="2"/>
    <x v="0"/>
    <n v="1"/>
    <n v="0"/>
    <n v="0"/>
    <n v="0"/>
    <n v="0"/>
    <n v="0"/>
    <n v="0"/>
    <m/>
    <n v="75"/>
    <s v="Unique"/>
    <s v="Valid"/>
    <s v="Valid"/>
    <s v="Valid"/>
    <s v="Valid"/>
    <s v="Valid"/>
    <s v="Outlier"/>
  </r>
  <r>
    <s v="USR-100847"/>
    <d v="2025-01-02T00:00:00"/>
    <x v="1"/>
    <x v="2"/>
    <x v="0"/>
    <x v="1"/>
    <x v="1"/>
    <n v="1"/>
    <n v="1"/>
    <n v="0"/>
    <n v="0"/>
    <n v="0"/>
    <n v="0"/>
    <n v="0"/>
    <m/>
    <n v="51.9"/>
    <s v="Unique"/>
    <s v="Valid"/>
    <s v="Valid"/>
    <s v="Valid"/>
    <s v="Valid"/>
    <s v="Valid"/>
    <s v="Outlier"/>
  </r>
  <r>
    <s v="USR-100848"/>
    <d v="2025-05-12T00:00:00"/>
    <x v="1"/>
    <x v="3"/>
    <x v="0"/>
    <x v="2"/>
    <x v="1"/>
    <n v="0"/>
    <n v="0"/>
    <n v="0"/>
    <n v="0"/>
    <n v="0"/>
    <n v="0"/>
    <n v="0"/>
    <m/>
    <n v="34.5"/>
    <s v="Unique"/>
    <s v="Valid"/>
    <s v="Valid"/>
    <s v="Valid"/>
    <s v="Valid"/>
    <s v="Valid"/>
    <s v="Outlier"/>
  </r>
  <r>
    <s v="USR-100849"/>
    <d v="2025-03-05T00:00:00"/>
    <x v="1"/>
    <x v="3"/>
    <x v="1"/>
    <x v="4"/>
    <x v="0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0850"/>
    <d v="2025-01-24T00:00:00"/>
    <x v="1"/>
    <x v="2"/>
    <x v="1"/>
    <x v="1"/>
    <x v="1"/>
    <n v="0"/>
    <n v="0"/>
    <n v="0"/>
    <n v="0"/>
    <n v="0"/>
    <n v="0"/>
    <n v="0"/>
    <m/>
    <n v="46"/>
    <s v="Unique"/>
    <s v="Valid"/>
    <s v="Valid"/>
    <s v="Valid"/>
    <s v="Valid"/>
    <s v="Valid"/>
    <s v="Outlier"/>
  </r>
  <r>
    <s v="USR-100851"/>
    <d v="2025-01-31T00:00:00"/>
    <x v="1"/>
    <x v="2"/>
    <x v="0"/>
    <x v="0"/>
    <x v="1"/>
    <n v="1"/>
    <n v="1"/>
    <n v="1"/>
    <n v="0"/>
    <n v="0"/>
    <n v="0"/>
    <n v="0"/>
    <m/>
    <n v="88.4"/>
    <s v="Unique"/>
    <s v="Valid"/>
    <s v="Valid"/>
    <s v="Valid"/>
    <s v="Valid"/>
    <s v="Valid"/>
    <s v="Outlier"/>
  </r>
  <r>
    <s v="USR-100852"/>
    <d v="2025-01-24T00:00:00"/>
    <x v="1"/>
    <x v="0"/>
    <x v="2"/>
    <x v="1"/>
    <x v="0"/>
    <n v="1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0853"/>
    <d v="2025-02-14T00:00:00"/>
    <x v="1"/>
    <x v="0"/>
    <x v="0"/>
    <x v="3"/>
    <x v="0"/>
    <n v="1"/>
    <n v="1"/>
    <n v="1"/>
    <n v="0"/>
    <n v="0"/>
    <n v="0"/>
    <n v="0"/>
    <m/>
    <n v="74.2"/>
    <s v="Unique"/>
    <s v="Valid"/>
    <s v="Valid"/>
    <s v="Valid"/>
    <s v="Valid"/>
    <s v="Valid"/>
    <s v="Outlier"/>
  </r>
  <r>
    <s v="USR-100854"/>
    <d v="2025-05-27T00:00:00"/>
    <x v="1"/>
    <x v="0"/>
    <x v="1"/>
    <x v="1"/>
    <x v="1"/>
    <n v="1"/>
    <n v="1"/>
    <n v="1"/>
    <n v="0"/>
    <n v="0"/>
    <n v="0"/>
    <n v="0"/>
    <m/>
    <n v="72.099999999999994"/>
    <s v="Unique"/>
    <s v="Valid"/>
    <s v="Valid"/>
    <s v="Valid"/>
    <s v="Valid"/>
    <s v="Valid"/>
    <s v="Outlier"/>
  </r>
  <r>
    <s v="USR-100855"/>
    <d v="2025-02-28T00:00:00"/>
    <x v="1"/>
    <x v="0"/>
    <x v="1"/>
    <x v="2"/>
    <x v="1"/>
    <n v="1"/>
    <n v="1"/>
    <n v="1"/>
    <n v="1"/>
    <n v="398.33"/>
    <n v="0"/>
    <n v="0"/>
    <n v="5"/>
    <n v="85.1"/>
    <s v="Unique"/>
    <s v="Valid"/>
    <s v="Valid"/>
    <s v="Valid"/>
    <s v="Valid"/>
    <s v="Valid"/>
    <s v="Outlier"/>
  </r>
  <r>
    <s v="USR-100856"/>
    <d v="2025-05-27T00:00:00"/>
    <x v="1"/>
    <x v="0"/>
    <x v="1"/>
    <x v="1"/>
    <x v="0"/>
    <n v="1"/>
    <n v="1"/>
    <n v="1"/>
    <n v="0"/>
    <n v="0"/>
    <n v="0"/>
    <n v="0"/>
    <m/>
    <n v="49.5"/>
    <s v="Unique"/>
    <s v="Valid"/>
    <s v="Valid"/>
    <s v="Valid"/>
    <s v="Valid"/>
    <s v="Valid"/>
    <s v="Outlier"/>
  </r>
  <r>
    <s v="USR-100857"/>
    <d v="2025-05-17T00:00:00"/>
    <x v="1"/>
    <x v="3"/>
    <x v="1"/>
    <x v="2"/>
    <x v="2"/>
    <n v="0"/>
    <n v="0"/>
    <n v="0"/>
    <n v="0"/>
    <n v="0"/>
    <n v="1"/>
    <n v="0"/>
    <m/>
    <n v="79"/>
    <s v="Unique"/>
    <s v="Valid"/>
    <s v="Valid"/>
    <s v="Valid"/>
    <s v="Valid"/>
    <s v="Valid"/>
    <s v="Outlier"/>
  </r>
  <r>
    <s v="USR-100858"/>
    <d v="2025-01-10T00:00:00"/>
    <x v="1"/>
    <x v="1"/>
    <x v="0"/>
    <x v="4"/>
    <x v="1"/>
    <n v="0"/>
    <n v="0"/>
    <n v="0"/>
    <n v="0"/>
    <n v="0"/>
    <n v="0"/>
    <n v="0"/>
    <m/>
    <n v="71.8"/>
    <s v="Unique"/>
    <s v="Valid"/>
    <s v="Valid"/>
    <s v="Valid"/>
    <s v="Valid"/>
    <s v="Valid"/>
    <s v="Outlier"/>
  </r>
  <r>
    <s v="USR-100859"/>
    <d v="2025-04-22T00:00:00"/>
    <x v="1"/>
    <x v="0"/>
    <x v="1"/>
    <x v="0"/>
    <x v="0"/>
    <n v="1"/>
    <n v="1"/>
    <n v="1"/>
    <n v="1"/>
    <n v="1117.54"/>
    <n v="0"/>
    <n v="0"/>
    <n v="6"/>
    <n v="60.4"/>
    <s v="Unique"/>
    <s v="Valid"/>
    <s v="Valid"/>
    <s v="Valid"/>
    <s v="Valid"/>
    <s v="Valid"/>
    <s v="Outlier"/>
  </r>
  <r>
    <s v="USR-100860"/>
    <d v="2025-03-02T00:00:00"/>
    <x v="1"/>
    <x v="3"/>
    <x v="0"/>
    <x v="1"/>
    <x v="0"/>
    <n v="1"/>
    <n v="0"/>
    <n v="0"/>
    <n v="0"/>
    <n v="0"/>
    <n v="2"/>
    <n v="0"/>
    <m/>
    <n v="38.299999999999997"/>
    <s v="Unique"/>
    <s v="Valid"/>
    <s v="Valid"/>
    <s v="Valid"/>
    <s v="Valid"/>
    <s v="Valid"/>
    <s v="Outlier"/>
  </r>
  <r>
    <s v="USR-100861"/>
    <d v="2025-03-23T00:00:00"/>
    <x v="1"/>
    <x v="2"/>
    <x v="1"/>
    <x v="2"/>
    <x v="1"/>
    <n v="1"/>
    <n v="1"/>
    <n v="1"/>
    <n v="0"/>
    <n v="0"/>
    <n v="0"/>
    <n v="0"/>
    <m/>
    <n v="79.599999999999994"/>
    <s v="Unique"/>
    <s v="Valid"/>
    <s v="Valid"/>
    <s v="Valid"/>
    <s v="Valid"/>
    <s v="Valid"/>
    <s v="Outlier"/>
  </r>
  <r>
    <s v="USR-100862"/>
    <d v="2025-02-12T00:00:00"/>
    <x v="1"/>
    <x v="2"/>
    <x v="1"/>
    <x v="0"/>
    <x v="1"/>
    <n v="1"/>
    <n v="1"/>
    <n v="1"/>
    <n v="0"/>
    <n v="0"/>
    <n v="0"/>
    <n v="0"/>
    <m/>
    <n v="71.900000000000006"/>
    <s v="Unique"/>
    <s v="Valid"/>
    <s v="Valid"/>
    <s v="Valid"/>
    <s v="Valid"/>
    <s v="Valid"/>
    <s v="Outlier"/>
  </r>
  <r>
    <s v="USR-100863"/>
    <d v="2025-05-03T00:00:00"/>
    <x v="1"/>
    <x v="3"/>
    <x v="1"/>
    <x v="3"/>
    <x v="0"/>
    <n v="1"/>
    <n v="0"/>
    <n v="0"/>
    <n v="0"/>
    <n v="0"/>
    <n v="0"/>
    <n v="0"/>
    <m/>
    <n v="54.6"/>
    <s v="Unique"/>
    <s v="Valid"/>
    <s v="Valid"/>
    <s v="Valid"/>
    <s v="Valid"/>
    <s v="Valid"/>
    <s v="Outlier"/>
  </r>
  <r>
    <s v="USR-100864"/>
    <d v="2025-03-28T00:00:00"/>
    <x v="1"/>
    <x v="0"/>
    <x v="0"/>
    <x v="4"/>
    <x v="1"/>
    <n v="1"/>
    <n v="0"/>
    <n v="0"/>
    <n v="0"/>
    <n v="0"/>
    <n v="3"/>
    <n v="0"/>
    <m/>
    <n v="49.3"/>
    <s v="Unique"/>
    <s v="Valid"/>
    <s v="Valid"/>
    <s v="Valid"/>
    <s v="Valid"/>
    <s v="Valid"/>
    <s v="Outlier"/>
  </r>
  <r>
    <s v="USR-100865"/>
    <d v="2025-03-12T00:00:00"/>
    <x v="1"/>
    <x v="0"/>
    <x v="1"/>
    <x v="4"/>
    <x v="0"/>
    <n v="0"/>
    <n v="0"/>
    <n v="0"/>
    <n v="0"/>
    <n v="0"/>
    <n v="1"/>
    <n v="0"/>
    <m/>
    <n v="66.900000000000006"/>
    <s v="Unique"/>
    <s v="Valid"/>
    <s v="Valid"/>
    <s v="Valid"/>
    <s v="Valid"/>
    <s v="Valid"/>
    <s v="Outlier"/>
  </r>
  <r>
    <s v="USR-100866"/>
    <d v="2025-04-27T00:00:00"/>
    <x v="1"/>
    <x v="2"/>
    <x v="1"/>
    <x v="2"/>
    <x v="1"/>
    <n v="1"/>
    <n v="0"/>
    <n v="0"/>
    <n v="0"/>
    <n v="0"/>
    <n v="1"/>
    <n v="0"/>
    <m/>
    <n v="77.8"/>
    <s v="Unique"/>
    <s v="Valid"/>
    <s v="Valid"/>
    <s v="Valid"/>
    <s v="Valid"/>
    <s v="Valid"/>
    <s v="Outlier"/>
  </r>
  <r>
    <s v="USR-100867"/>
    <d v="2025-04-02T00:00:00"/>
    <x v="1"/>
    <x v="3"/>
    <x v="1"/>
    <x v="3"/>
    <x v="0"/>
    <n v="1"/>
    <n v="0"/>
    <n v="0"/>
    <n v="0"/>
    <n v="0"/>
    <n v="0"/>
    <n v="0"/>
    <m/>
    <n v="63"/>
    <s v="Unique"/>
    <s v="Valid"/>
    <s v="Valid"/>
    <s v="Valid"/>
    <s v="Valid"/>
    <s v="Valid"/>
    <s v="Outlier"/>
  </r>
  <r>
    <s v="USR-100868"/>
    <d v="2025-04-21T00:00:00"/>
    <x v="1"/>
    <x v="0"/>
    <x v="1"/>
    <x v="4"/>
    <x v="1"/>
    <n v="0"/>
    <n v="0"/>
    <n v="0"/>
    <n v="0"/>
    <n v="0"/>
    <n v="0"/>
    <n v="0"/>
    <m/>
    <n v="79.8"/>
    <s v="Unique"/>
    <s v="Valid"/>
    <s v="Valid"/>
    <s v="Valid"/>
    <s v="Valid"/>
    <s v="Valid"/>
    <s v="Outlier"/>
  </r>
  <r>
    <s v="USR-100869"/>
    <d v="2025-01-26T00:00:00"/>
    <x v="1"/>
    <x v="1"/>
    <x v="0"/>
    <x v="1"/>
    <x v="0"/>
    <n v="0"/>
    <n v="0"/>
    <n v="0"/>
    <n v="0"/>
    <n v="0"/>
    <n v="0"/>
    <n v="0"/>
    <m/>
    <n v="69.900000000000006"/>
    <s v="Unique"/>
    <s v="Valid"/>
    <s v="Valid"/>
    <s v="Valid"/>
    <s v="Valid"/>
    <s v="Valid"/>
    <s v="Outlier"/>
  </r>
  <r>
    <s v="USR-100870"/>
    <d v="2025-01-06T00:00:00"/>
    <x v="1"/>
    <x v="1"/>
    <x v="1"/>
    <x v="1"/>
    <x v="1"/>
    <n v="0"/>
    <n v="0"/>
    <n v="0"/>
    <n v="0"/>
    <n v="0"/>
    <n v="1"/>
    <n v="0"/>
    <m/>
    <n v="66.400000000000006"/>
    <s v="Unique"/>
    <s v="Valid"/>
    <s v="Valid"/>
    <s v="Valid"/>
    <s v="Valid"/>
    <s v="Valid"/>
    <s v="Outlier"/>
  </r>
  <r>
    <s v="USR-100871"/>
    <d v="2025-02-07T00:00:00"/>
    <x v="1"/>
    <x v="2"/>
    <x v="1"/>
    <x v="1"/>
    <x v="1"/>
    <n v="1"/>
    <n v="0"/>
    <n v="0"/>
    <n v="0"/>
    <n v="0"/>
    <n v="0"/>
    <n v="0"/>
    <m/>
    <n v="27.6"/>
    <s v="Unique"/>
    <s v="Valid"/>
    <s v="Valid"/>
    <s v="Valid"/>
    <s v="Valid"/>
    <s v="Valid"/>
    <s v="Outlier"/>
  </r>
  <r>
    <s v="USR-100872"/>
    <d v="2025-05-07T00:00:00"/>
    <x v="1"/>
    <x v="1"/>
    <x v="1"/>
    <x v="1"/>
    <x v="2"/>
    <n v="1"/>
    <n v="0"/>
    <n v="0"/>
    <n v="0"/>
    <n v="0"/>
    <n v="1"/>
    <n v="0"/>
    <m/>
    <n v="56.5"/>
    <s v="Unique"/>
    <s v="Valid"/>
    <s v="Valid"/>
    <s v="Valid"/>
    <s v="Valid"/>
    <s v="Valid"/>
    <s v="Outlier"/>
  </r>
  <r>
    <s v="USR-100873"/>
    <d v="2025-04-22T00:00:00"/>
    <x v="1"/>
    <x v="1"/>
    <x v="3"/>
    <x v="4"/>
    <x v="1"/>
    <n v="1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0874"/>
    <d v="2025-05-04T00:00:00"/>
    <x v="1"/>
    <x v="1"/>
    <x v="0"/>
    <x v="4"/>
    <x v="1"/>
    <n v="1"/>
    <n v="0"/>
    <n v="0"/>
    <n v="0"/>
    <n v="0"/>
    <n v="0"/>
    <n v="0"/>
    <m/>
    <n v="80"/>
    <s v="Unique"/>
    <s v="Valid"/>
    <s v="Valid"/>
    <s v="Valid"/>
    <s v="Valid"/>
    <s v="Valid"/>
    <s v="Outlier"/>
  </r>
  <r>
    <s v="USR-100875"/>
    <d v="2025-05-16T00:00:00"/>
    <x v="1"/>
    <x v="3"/>
    <x v="1"/>
    <x v="4"/>
    <x v="0"/>
    <n v="1"/>
    <n v="1"/>
    <n v="1"/>
    <n v="0"/>
    <n v="0"/>
    <n v="1"/>
    <n v="0"/>
    <m/>
    <n v="80.900000000000006"/>
    <s v="Unique"/>
    <s v="Valid"/>
    <s v="Valid"/>
    <s v="Valid"/>
    <s v="Valid"/>
    <s v="Valid"/>
    <s v="Outlier"/>
  </r>
  <r>
    <s v="USR-100876"/>
    <d v="2025-02-11T00:00:00"/>
    <x v="1"/>
    <x v="1"/>
    <x v="1"/>
    <x v="2"/>
    <x v="1"/>
    <n v="0"/>
    <n v="0"/>
    <n v="0"/>
    <n v="0"/>
    <n v="0"/>
    <n v="0"/>
    <n v="0"/>
    <m/>
    <n v="34.5"/>
    <s v="Unique"/>
    <s v="Valid"/>
    <s v="Valid"/>
    <s v="Valid"/>
    <s v="Valid"/>
    <s v="Valid"/>
    <s v="Outlier"/>
  </r>
  <r>
    <s v="USR-100877"/>
    <d v="2025-05-09T00:00:00"/>
    <x v="1"/>
    <x v="2"/>
    <x v="0"/>
    <x v="1"/>
    <x v="2"/>
    <n v="1"/>
    <n v="0"/>
    <n v="0"/>
    <n v="0"/>
    <n v="0"/>
    <n v="0"/>
    <n v="0"/>
    <m/>
    <n v="73.5"/>
    <s v="Unique"/>
    <s v="Valid"/>
    <s v="Valid"/>
    <s v="Valid"/>
    <s v="Valid"/>
    <s v="Valid"/>
    <s v="Outlier"/>
  </r>
  <r>
    <s v="USR-100878"/>
    <d v="2025-02-09T00:00:00"/>
    <x v="1"/>
    <x v="3"/>
    <x v="0"/>
    <x v="2"/>
    <x v="1"/>
    <n v="1"/>
    <n v="1"/>
    <n v="0"/>
    <n v="0"/>
    <n v="0"/>
    <n v="0"/>
    <n v="0"/>
    <m/>
    <n v="70"/>
    <s v="Unique"/>
    <s v="Valid"/>
    <s v="Valid"/>
    <s v="Valid"/>
    <s v="Valid"/>
    <s v="Valid"/>
    <s v="Outlier"/>
  </r>
  <r>
    <s v="USR-100879"/>
    <d v="2025-05-22T00:00:00"/>
    <x v="1"/>
    <x v="1"/>
    <x v="1"/>
    <x v="4"/>
    <x v="0"/>
    <n v="0"/>
    <n v="0"/>
    <n v="0"/>
    <n v="0"/>
    <n v="0"/>
    <n v="0"/>
    <n v="0"/>
    <m/>
    <n v="86.9"/>
    <s v="Unique"/>
    <s v="Valid"/>
    <s v="Valid"/>
    <s v="Valid"/>
    <s v="Valid"/>
    <s v="Valid"/>
    <s v="Outlier"/>
  </r>
  <r>
    <s v="USR-100880"/>
    <d v="2025-05-24T00:00:00"/>
    <x v="1"/>
    <x v="2"/>
    <x v="1"/>
    <x v="4"/>
    <x v="0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881"/>
    <d v="2025-04-27T00:00:00"/>
    <x v="1"/>
    <x v="3"/>
    <x v="0"/>
    <x v="4"/>
    <x v="0"/>
    <n v="1"/>
    <n v="1"/>
    <n v="1"/>
    <n v="0"/>
    <n v="0"/>
    <n v="0"/>
    <n v="0"/>
    <m/>
    <n v="58.3"/>
    <s v="Unique"/>
    <s v="Valid"/>
    <s v="Valid"/>
    <s v="Valid"/>
    <s v="Valid"/>
    <s v="Valid"/>
    <s v="Outlier"/>
  </r>
  <r>
    <s v="USR-100882"/>
    <d v="2025-03-19T00:00:00"/>
    <x v="1"/>
    <x v="2"/>
    <x v="1"/>
    <x v="2"/>
    <x v="1"/>
    <n v="1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0883"/>
    <d v="2025-05-20T00:00:00"/>
    <x v="1"/>
    <x v="3"/>
    <x v="1"/>
    <x v="1"/>
    <x v="2"/>
    <n v="0"/>
    <n v="0"/>
    <n v="0"/>
    <n v="0"/>
    <n v="0"/>
    <n v="0"/>
    <n v="0"/>
    <m/>
    <n v="60.8"/>
    <s v="Unique"/>
    <s v="Valid"/>
    <s v="Valid"/>
    <s v="Valid"/>
    <s v="Valid"/>
    <s v="Valid"/>
    <s v="Outlier"/>
  </r>
  <r>
    <s v="USR-100884"/>
    <d v="2025-05-10T00:00:00"/>
    <x v="1"/>
    <x v="0"/>
    <x v="1"/>
    <x v="0"/>
    <x v="2"/>
    <n v="1"/>
    <n v="0"/>
    <n v="0"/>
    <n v="0"/>
    <n v="0"/>
    <n v="4"/>
    <n v="0"/>
    <m/>
    <n v="53.7"/>
    <s v="Unique"/>
    <s v="Valid"/>
    <s v="Valid"/>
    <s v="Valid"/>
    <s v="Valid"/>
    <s v="Valid"/>
    <s v="Outlier"/>
  </r>
  <r>
    <s v="USR-100885"/>
    <d v="2025-03-29T00:00:00"/>
    <x v="1"/>
    <x v="2"/>
    <x v="1"/>
    <x v="4"/>
    <x v="1"/>
    <n v="1"/>
    <n v="1"/>
    <n v="1"/>
    <n v="0"/>
    <n v="0"/>
    <n v="0"/>
    <n v="0"/>
    <m/>
    <n v="48.8"/>
    <s v="Unique"/>
    <s v="Valid"/>
    <s v="Valid"/>
    <s v="Valid"/>
    <s v="Valid"/>
    <s v="Valid"/>
    <s v="Outlier"/>
  </r>
  <r>
    <s v="USR-100886"/>
    <d v="2025-04-03T00:00:00"/>
    <x v="1"/>
    <x v="1"/>
    <x v="0"/>
    <x v="3"/>
    <x v="0"/>
    <n v="0"/>
    <n v="0"/>
    <n v="0"/>
    <n v="0"/>
    <n v="0"/>
    <n v="0"/>
    <n v="0"/>
    <m/>
    <n v="52.9"/>
    <s v="Unique"/>
    <s v="Valid"/>
    <s v="Valid"/>
    <s v="Valid"/>
    <s v="Valid"/>
    <s v="Valid"/>
    <s v="Outlier"/>
  </r>
  <r>
    <s v="USR-100887"/>
    <d v="2025-05-30T00:00:00"/>
    <x v="1"/>
    <x v="3"/>
    <x v="1"/>
    <x v="0"/>
    <x v="1"/>
    <n v="1"/>
    <n v="0"/>
    <n v="0"/>
    <n v="0"/>
    <n v="0"/>
    <n v="0"/>
    <n v="0"/>
    <m/>
    <n v="42.4"/>
    <s v="Unique"/>
    <s v="Valid"/>
    <s v="Valid"/>
    <s v="Valid"/>
    <s v="Valid"/>
    <s v="Valid"/>
    <s v="Outlier"/>
  </r>
  <r>
    <s v="USR-100888"/>
    <d v="2025-04-06T00:00:00"/>
    <x v="1"/>
    <x v="2"/>
    <x v="0"/>
    <x v="0"/>
    <x v="1"/>
    <n v="1"/>
    <n v="0"/>
    <n v="0"/>
    <n v="0"/>
    <n v="0"/>
    <n v="0"/>
    <n v="0"/>
    <m/>
    <n v="58.7"/>
    <s v="Unique"/>
    <s v="Valid"/>
    <s v="Valid"/>
    <s v="Valid"/>
    <s v="Valid"/>
    <s v="Valid"/>
    <s v="Outlier"/>
  </r>
  <r>
    <s v="USR-100889"/>
    <d v="2025-03-14T00:00:00"/>
    <x v="1"/>
    <x v="0"/>
    <x v="1"/>
    <x v="3"/>
    <x v="1"/>
    <n v="1"/>
    <n v="1"/>
    <n v="1"/>
    <n v="1"/>
    <n v="2064.5500000000002"/>
    <n v="0"/>
    <n v="0"/>
    <n v="1"/>
    <n v="67.8"/>
    <s v="Unique"/>
    <s v="Valid"/>
    <s v="Valid"/>
    <s v="Valid"/>
    <s v="Valid"/>
    <s v="Valid"/>
    <s v="Outlier"/>
  </r>
  <r>
    <s v="USR-100890"/>
    <d v="2025-02-24T00:00:00"/>
    <x v="1"/>
    <x v="3"/>
    <x v="0"/>
    <x v="2"/>
    <x v="0"/>
    <n v="1"/>
    <n v="0"/>
    <n v="0"/>
    <n v="0"/>
    <n v="0"/>
    <n v="0"/>
    <n v="0"/>
    <m/>
    <n v="62.6"/>
    <s v="Unique"/>
    <s v="Valid"/>
    <s v="Valid"/>
    <s v="Valid"/>
    <s v="Valid"/>
    <s v="Valid"/>
    <s v="Outlier"/>
  </r>
  <r>
    <s v="USR-100891"/>
    <d v="2025-03-04T00:00:00"/>
    <x v="1"/>
    <x v="1"/>
    <x v="1"/>
    <x v="0"/>
    <x v="0"/>
    <n v="1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0892"/>
    <d v="2025-04-02T00:00:00"/>
    <x v="1"/>
    <x v="0"/>
    <x v="1"/>
    <x v="1"/>
    <x v="1"/>
    <n v="1"/>
    <n v="1"/>
    <n v="1"/>
    <n v="0"/>
    <n v="0"/>
    <n v="0"/>
    <n v="0"/>
    <m/>
    <n v="50.4"/>
    <s v="Unique"/>
    <s v="Valid"/>
    <s v="Valid"/>
    <s v="Valid"/>
    <s v="Valid"/>
    <s v="Valid"/>
    <s v="Outlier"/>
  </r>
  <r>
    <s v="USR-100893"/>
    <d v="2025-05-11T00:00:00"/>
    <x v="1"/>
    <x v="0"/>
    <x v="1"/>
    <x v="0"/>
    <x v="2"/>
    <n v="0"/>
    <n v="0"/>
    <n v="0"/>
    <n v="0"/>
    <n v="0"/>
    <n v="0"/>
    <n v="0"/>
    <m/>
    <n v="68.400000000000006"/>
    <s v="Unique"/>
    <s v="Valid"/>
    <s v="Valid"/>
    <s v="Valid"/>
    <s v="Valid"/>
    <s v="Valid"/>
    <s v="Outlier"/>
  </r>
  <r>
    <s v="USR-100894"/>
    <d v="2025-05-10T00:00:00"/>
    <x v="1"/>
    <x v="1"/>
    <x v="2"/>
    <x v="2"/>
    <x v="0"/>
    <n v="1"/>
    <n v="1"/>
    <n v="1"/>
    <n v="0"/>
    <n v="0"/>
    <n v="0"/>
    <n v="0"/>
    <m/>
    <n v="58.8"/>
    <s v="Unique"/>
    <s v="Valid"/>
    <s v="Valid"/>
    <s v="Valid"/>
    <s v="Valid"/>
    <s v="Valid"/>
    <s v="Outlier"/>
  </r>
  <r>
    <s v="USR-100895"/>
    <d v="2025-05-06T00:00:00"/>
    <x v="1"/>
    <x v="1"/>
    <x v="1"/>
    <x v="3"/>
    <x v="1"/>
    <n v="1"/>
    <n v="1"/>
    <n v="0"/>
    <n v="0"/>
    <n v="0"/>
    <n v="2"/>
    <n v="0"/>
    <m/>
    <n v="28.3"/>
    <s v="Unique"/>
    <s v="Valid"/>
    <s v="Valid"/>
    <s v="Valid"/>
    <s v="Valid"/>
    <s v="Valid"/>
    <s v="Outlier"/>
  </r>
  <r>
    <s v="USR-100896"/>
    <d v="2025-02-11T00:00:00"/>
    <x v="1"/>
    <x v="1"/>
    <x v="0"/>
    <x v="2"/>
    <x v="1"/>
    <n v="1"/>
    <n v="1"/>
    <n v="0"/>
    <n v="0"/>
    <n v="0"/>
    <n v="0"/>
    <n v="0"/>
    <m/>
    <n v="44.1"/>
    <s v="Unique"/>
    <s v="Valid"/>
    <s v="Valid"/>
    <s v="Valid"/>
    <s v="Valid"/>
    <s v="Valid"/>
    <s v="Outlier"/>
  </r>
  <r>
    <s v="USR-100897"/>
    <d v="2025-05-09T00:00:00"/>
    <x v="1"/>
    <x v="3"/>
    <x v="1"/>
    <x v="2"/>
    <x v="2"/>
    <n v="1"/>
    <n v="1"/>
    <n v="0"/>
    <n v="0"/>
    <n v="0"/>
    <n v="0"/>
    <n v="0"/>
    <m/>
    <n v="66.7"/>
    <s v="Unique"/>
    <s v="Valid"/>
    <s v="Valid"/>
    <s v="Valid"/>
    <s v="Valid"/>
    <s v="Valid"/>
    <s v="Outlier"/>
  </r>
  <r>
    <s v="USR-100898"/>
    <d v="2025-02-02T00:00:00"/>
    <x v="1"/>
    <x v="3"/>
    <x v="1"/>
    <x v="5"/>
    <x v="1"/>
    <n v="1"/>
    <n v="0"/>
    <n v="0"/>
    <n v="0"/>
    <n v="0"/>
    <n v="0"/>
    <n v="0"/>
    <m/>
    <n v="100"/>
    <s v="Unique"/>
    <s v="Valid"/>
    <s v="Valid"/>
    <s v="Valid"/>
    <s v="Valid"/>
    <s v="Valid"/>
    <s v="Outlier"/>
  </r>
  <r>
    <s v="USR-100899"/>
    <d v="2025-04-03T00:00:00"/>
    <x v="1"/>
    <x v="3"/>
    <x v="1"/>
    <x v="4"/>
    <x v="1"/>
    <n v="1"/>
    <n v="1"/>
    <n v="0"/>
    <n v="0"/>
    <n v="0"/>
    <n v="0"/>
    <n v="0"/>
    <m/>
    <n v="87.5"/>
    <s v="Unique"/>
    <s v="Valid"/>
    <s v="Valid"/>
    <s v="Valid"/>
    <s v="Valid"/>
    <s v="Valid"/>
    <s v="Outlier"/>
  </r>
  <r>
    <s v="USR-100900"/>
    <d v="2025-02-15T00:00:00"/>
    <x v="1"/>
    <x v="0"/>
    <x v="0"/>
    <x v="1"/>
    <x v="0"/>
    <n v="1"/>
    <n v="0"/>
    <n v="0"/>
    <n v="0"/>
    <n v="0"/>
    <n v="2"/>
    <n v="0"/>
    <m/>
    <n v="65.400000000000006"/>
    <s v="Unique"/>
    <s v="Valid"/>
    <s v="Valid"/>
    <s v="Valid"/>
    <s v="Valid"/>
    <s v="Valid"/>
    <s v="Outlier"/>
  </r>
  <r>
    <s v="USR-100901"/>
    <d v="2025-04-18T00:00:00"/>
    <x v="1"/>
    <x v="3"/>
    <x v="0"/>
    <x v="1"/>
    <x v="1"/>
    <n v="1"/>
    <n v="0"/>
    <n v="0"/>
    <n v="0"/>
    <n v="0"/>
    <n v="0"/>
    <n v="0"/>
    <m/>
    <n v="22.9"/>
    <s v="Unique"/>
    <s v="Valid"/>
    <s v="Valid"/>
    <s v="Valid"/>
    <s v="Valid"/>
    <s v="Valid"/>
    <s v="Outlier"/>
  </r>
  <r>
    <s v="USR-100902"/>
    <d v="2025-03-14T00:00:00"/>
    <x v="1"/>
    <x v="1"/>
    <x v="0"/>
    <x v="1"/>
    <x v="2"/>
    <n v="0"/>
    <n v="0"/>
    <n v="0"/>
    <n v="0"/>
    <n v="0"/>
    <n v="0"/>
    <n v="0"/>
    <m/>
    <n v="64.599999999999994"/>
    <s v="Unique"/>
    <s v="Valid"/>
    <s v="Valid"/>
    <s v="Valid"/>
    <s v="Valid"/>
    <s v="Valid"/>
    <s v="Outlier"/>
  </r>
  <r>
    <s v="USR-100903"/>
    <d v="2025-03-29T00:00:00"/>
    <x v="1"/>
    <x v="3"/>
    <x v="1"/>
    <x v="3"/>
    <x v="1"/>
    <n v="1"/>
    <n v="0"/>
    <n v="0"/>
    <n v="0"/>
    <n v="0"/>
    <n v="2"/>
    <n v="0"/>
    <m/>
    <n v="54.4"/>
    <s v="Unique"/>
    <s v="Valid"/>
    <s v="Valid"/>
    <s v="Valid"/>
    <s v="Valid"/>
    <s v="Valid"/>
    <s v="Outlier"/>
  </r>
  <r>
    <s v="USR-100904"/>
    <d v="2025-02-13T00:00:00"/>
    <x v="1"/>
    <x v="0"/>
    <x v="0"/>
    <x v="1"/>
    <x v="1"/>
    <n v="1"/>
    <n v="1"/>
    <n v="1"/>
    <n v="0"/>
    <n v="0"/>
    <n v="0"/>
    <n v="0"/>
    <m/>
    <n v="56.8"/>
    <s v="Unique"/>
    <s v="Valid"/>
    <s v="Valid"/>
    <s v="Valid"/>
    <s v="Valid"/>
    <s v="Valid"/>
    <s v="Outlier"/>
  </r>
  <r>
    <s v="USR-100905"/>
    <d v="2025-01-23T00:00:00"/>
    <x v="1"/>
    <x v="3"/>
    <x v="1"/>
    <x v="2"/>
    <x v="1"/>
    <n v="1"/>
    <n v="1"/>
    <n v="1"/>
    <n v="1"/>
    <n v="341.38"/>
    <n v="0"/>
    <n v="0"/>
    <n v="2"/>
    <n v="63.6"/>
    <s v="Unique"/>
    <s v="Valid"/>
    <s v="Valid"/>
    <s v="Valid"/>
    <s v="Valid"/>
    <s v="Valid"/>
    <s v="Outlier"/>
  </r>
  <r>
    <s v="USR-100906"/>
    <d v="2025-02-24T00:00:00"/>
    <x v="1"/>
    <x v="2"/>
    <x v="1"/>
    <x v="4"/>
    <x v="1"/>
    <n v="1"/>
    <n v="0"/>
    <n v="0"/>
    <n v="0"/>
    <n v="0"/>
    <n v="0"/>
    <n v="0"/>
    <m/>
    <n v="58.2"/>
    <s v="Unique"/>
    <s v="Valid"/>
    <s v="Valid"/>
    <s v="Valid"/>
    <s v="Valid"/>
    <s v="Valid"/>
    <s v="Outlier"/>
  </r>
  <r>
    <s v="USR-100907"/>
    <d v="2025-02-28T00:00:00"/>
    <x v="1"/>
    <x v="1"/>
    <x v="1"/>
    <x v="2"/>
    <x v="1"/>
    <n v="1"/>
    <n v="1"/>
    <n v="0"/>
    <n v="0"/>
    <n v="0"/>
    <n v="0"/>
    <n v="0"/>
    <m/>
    <n v="54.6"/>
    <s v="Unique"/>
    <s v="Valid"/>
    <s v="Valid"/>
    <s v="Valid"/>
    <s v="Valid"/>
    <s v="Valid"/>
    <s v="Outlier"/>
  </r>
  <r>
    <s v="USR-100908"/>
    <d v="2025-01-07T00:00:00"/>
    <x v="1"/>
    <x v="1"/>
    <x v="2"/>
    <x v="1"/>
    <x v="0"/>
    <n v="1"/>
    <n v="0"/>
    <n v="0"/>
    <n v="0"/>
    <n v="0"/>
    <n v="0"/>
    <n v="0"/>
    <m/>
    <n v="81.900000000000006"/>
    <s v="Unique"/>
    <s v="Valid"/>
    <s v="Valid"/>
    <s v="Valid"/>
    <s v="Valid"/>
    <s v="Valid"/>
    <s v="Outlier"/>
  </r>
  <r>
    <s v="USR-100909"/>
    <d v="2025-03-21T00:00:00"/>
    <x v="1"/>
    <x v="1"/>
    <x v="0"/>
    <x v="0"/>
    <x v="1"/>
    <n v="1"/>
    <n v="0"/>
    <n v="0"/>
    <n v="0"/>
    <n v="0"/>
    <n v="3"/>
    <n v="0"/>
    <m/>
    <n v="53.3"/>
    <s v="Unique"/>
    <s v="Valid"/>
    <s v="Valid"/>
    <s v="Valid"/>
    <s v="Valid"/>
    <s v="Valid"/>
    <s v="Outlier"/>
  </r>
  <r>
    <s v="USR-100910"/>
    <d v="2025-02-18T00:00:00"/>
    <x v="1"/>
    <x v="0"/>
    <x v="0"/>
    <x v="1"/>
    <x v="0"/>
    <n v="0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0911"/>
    <d v="2025-01-05T00:00:00"/>
    <x v="1"/>
    <x v="0"/>
    <x v="1"/>
    <x v="2"/>
    <x v="1"/>
    <n v="1"/>
    <n v="1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0912"/>
    <d v="2025-03-11T00:00:00"/>
    <x v="1"/>
    <x v="2"/>
    <x v="0"/>
    <x v="1"/>
    <x v="0"/>
    <n v="1"/>
    <n v="0"/>
    <n v="0"/>
    <n v="0"/>
    <n v="0"/>
    <n v="1"/>
    <n v="0"/>
    <m/>
    <n v="56.5"/>
    <s v="Unique"/>
    <s v="Valid"/>
    <s v="Valid"/>
    <s v="Valid"/>
    <s v="Valid"/>
    <s v="Valid"/>
    <s v="Outlier"/>
  </r>
  <r>
    <s v="USR-100913"/>
    <d v="2025-01-09T00:00:00"/>
    <x v="1"/>
    <x v="0"/>
    <x v="0"/>
    <x v="1"/>
    <x v="0"/>
    <n v="1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0914"/>
    <d v="2025-01-08T00:00:00"/>
    <x v="1"/>
    <x v="3"/>
    <x v="1"/>
    <x v="1"/>
    <x v="1"/>
    <n v="1"/>
    <n v="1"/>
    <n v="1"/>
    <n v="0"/>
    <n v="0"/>
    <n v="0"/>
    <n v="0"/>
    <m/>
    <n v="72.5"/>
    <s v="Unique"/>
    <s v="Valid"/>
    <s v="Valid"/>
    <s v="Valid"/>
    <s v="Valid"/>
    <s v="Valid"/>
    <s v="Outlier"/>
  </r>
  <r>
    <s v="USR-100915"/>
    <d v="2025-05-01T00:00:00"/>
    <x v="1"/>
    <x v="2"/>
    <x v="0"/>
    <x v="2"/>
    <x v="1"/>
    <n v="1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916"/>
    <d v="2025-03-03T00:00:00"/>
    <x v="1"/>
    <x v="3"/>
    <x v="1"/>
    <x v="4"/>
    <x v="1"/>
    <n v="1"/>
    <n v="0"/>
    <n v="0"/>
    <n v="0"/>
    <n v="0"/>
    <n v="0"/>
    <n v="0"/>
    <m/>
    <n v="64.5"/>
    <s v="Unique"/>
    <s v="Valid"/>
    <s v="Valid"/>
    <s v="Valid"/>
    <s v="Valid"/>
    <s v="Valid"/>
    <s v="Outlier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s v="Unique"/>
    <s v="Valid"/>
    <s v="Valid"/>
    <s v="Valid"/>
    <s v="Valid"/>
    <s v="Valid"/>
    <s v="Outlier"/>
  </r>
  <r>
    <s v="USR-100918"/>
    <d v="2025-02-17T00:00:00"/>
    <x v="1"/>
    <x v="3"/>
    <x v="0"/>
    <x v="1"/>
    <x v="0"/>
    <n v="0"/>
    <n v="0"/>
    <n v="0"/>
    <n v="0"/>
    <n v="0"/>
    <n v="0"/>
    <n v="0"/>
    <m/>
    <n v="58.4"/>
    <s v="Unique"/>
    <s v="Valid"/>
    <s v="Valid"/>
    <s v="Valid"/>
    <s v="Valid"/>
    <s v="Valid"/>
    <s v="Outlier"/>
  </r>
  <r>
    <s v="USR-100919"/>
    <d v="2025-05-21T00:00:00"/>
    <x v="1"/>
    <x v="2"/>
    <x v="1"/>
    <x v="1"/>
    <x v="0"/>
    <n v="1"/>
    <n v="0"/>
    <n v="0"/>
    <n v="0"/>
    <n v="0"/>
    <n v="0"/>
    <n v="0"/>
    <m/>
    <n v="56.6"/>
    <s v="Unique"/>
    <s v="Valid"/>
    <s v="Valid"/>
    <s v="Valid"/>
    <s v="Valid"/>
    <s v="Valid"/>
    <s v="Outlier"/>
  </r>
  <r>
    <s v="USR-100920"/>
    <d v="2025-01-30T00:00:00"/>
    <x v="1"/>
    <x v="3"/>
    <x v="1"/>
    <x v="1"/>
    <x v="1"/>
    <n v="1"/>
    <n v="0"/>
    <n v="0"/>
    <n v="0"/>
    <n v="0"/>
    <n v="0"/>
    <n v="0"/>
    <m/>
    <n v="61.8"/>
    <s v="Unique"/>
    <s v="Valid"/>
    <s v="Valid"/>
    <s v="Valid"/>
    <s v="Valid"/>
    <s v="Valid"/>
    <s v="Outlier"/>
  </r>
  <r>
    <s v="USR-100921"/>
    <d v="2025-03-20T00:00:00"/>
    <x v="1"/>
    <x v="1"/>
    <x v="1"/>
    <x v="0"/>
    <x v="1"/>
    <n v="1"/>
    <n v="1"/>
    <n v="1"/>
    <n v="1"/>
    <n v="513.52"/>
    <n v="0"/>
    <n v="0"/>
    <n v="8"/>
    <n v="43.4"/>
    <s v="Unique"/>
    <s v="Valid"/>
    <s v="Valid"/>
    <s v="Valid"/>
    <s v="Valid"/>
    <s v="Valid"/>
    <s v="Outlier"/>
  </r>
  <r>
    <s v="USR-100922"/>
    <d v="2025-04-10T00:00:00"/>
    <x v="1"/>
    <x v="1"/>
    <x v="2"/>
    <x v="2"/>
    <x v="1"/>
    <n v="0"/>
    <n v="0"/>
    <n v="0"/>
    <n v="0"/>
    <n v="0"/>
    <n v="0"/>
    <n v="0"/>
    <m/>
    <n v="43"/>
    <s v="Unique"/>
    <s v="Valid"/>
    <s v="Valid"/>
    <s v="Valid"/>
    <s v="Valid"/>
    <s v="Valid"/>
    <s v="Outlier"/>
  </r>
  <r>
    <s v="USR-100923"/>
    <d v="2025-03-07T00:00:00"/>
    <x v="1"/>
    <x v="0"/>
    <x v="0"/>
    <x v="1"/>
    <x v="1"/>
    <n v="1"/>
    <n v="1"/>
    <n v="1"/>
    <n v="0"/>
    <n v="0"/>
    <n v="0"/>
    <n v="0"/>
    <m/>
    <n v="51.1"/>
    <s v="Unique"/>
    <s v="Valid"/>
    <s v="Valid"/>
    <s v="Valid"/>
    <s v="Valid"/>
    <s v="Valid"/>
    <s v="Outlier"/>
  </r>
  <r>
    <s v="USR-100924"/>
    <d v="2025-03-12T00:00:00"/>
    <x v="1"/>
    <x v="1"/>
    <x v="1"/>
    <x v="0"/>
    <x v="0"/>
    <n v="1"/>
    <n v="0"/>
    <n v="0"/>
    <n v="0"/>
    <n v="0"/>
    <n v="0"/>
    <n v="0"/>
    <m/>
    <n v="48.8"/>
    <s v="Unique"/>
    <s v="Valid"/>
    <s v="Valid"/>
    <s v="Valid"/>
    <s v="Valid"/>
    <s v="Valid"/>
    <s v="Outlier"/>
  </r>
  <r>
    <s v="USR-100925"/>
    <d v="2025-02-24T00:00:00"/>
    <x v="1"/>
    <x v="2"/>
    <x v="1"/>
    <x v="3"/>
    <x v="1"/>
    <n v="0"/>
    <n v="0"/>
    <n v="0"/>
    <n v="0"/>
    <n v="0"/>
    <n v="0"/>
    <n v="0"/>
    <m/>
    <n v="73.2"/>
    <s v="Unique"/>
    <s v="Valid"/>
    <s v="Valid"/>
    <s v="Valid"/>
    <s v="Valid"/>
    <s v="Valid"/>
    <s v="Outlier"/>
  </r>
  <r>
    <s v="USR-100926"/>
    <d v="2025-01-15T00:00:00"/>
    <x v="1"/>
    <x v="2"/>
    <x v="1"/>
    <x v="3"/>
    <x v="1"/>
    <n v="1"/>
    <n v="1"/>
    <n v="1"/>
    <n v="0"/>
    <n v="0"/>
    <n v="0"/>
    <n v="0"/>
    <m/>
    <n v="80"/>
    <s v="Unique"/>
    <s v="Valid"/>
    <s v="Valid"/>
    <s v="Valid"/>
    <s v="Valid"/>
    <s v="Valid"/>
    <s v="Outlier"/>
  </r>
  <r>
    <s v="USR-100927"/>
    <d v="2025-01-07T00:00:00"/>
    <x v="1"/>
    <x v="0"/>
    <x v="0"/>
    <x v="2"/>
    <x v="1"/>
    <n v="1"/>
    <n v="0"/>
    <n v="0"/>
    <n v="0"/>
    <n v="0"/>
    <n v="0"/>
    <n v="0"/>
    <m/>
    <n v="52.3"/>
    <s v="Unique"/>
    <s v="Valid"/>
    <s v="Valid"/>
    <s v="Valid"/>
    <s v="Valid"/>
    <s v="Valid"/>
    <s v="Outlier"/>
  </r>
  <r>
    <s v="USR-100928"/>
    <d v="2025-03-02T00:00:00"/>
    <x v="1"/>
    <x v="0"/>
    <x v="0"/>
    <x v="1"/>
    <x v="1"/>
    <n v="0"/>
    <n v="0"/>
    <n v="0"/>
    <n v="0"/>
    <n v="0"/>
    <n v="0"/>
    <n v="0"/>
    <m/>
    <n v="49.1"/>
    <s v="Unique"/>
    <s v="Valid"/>
    <s v="Valid"/>
    <s v="Valid"/>
    <s v="Valid"/>
    <s v="Valid"/>
    <s v="Outlier"/>
  </r>
  <r>
    <s v="USR-100929"/>
    <d v="2025-01-05T00:00:00"/>
    <x v="1"/>
    <x v="3"/>
    <x v="0"/>
    <x v="3"/>
    <x v="0"/>
    <n v="0"/>
    <n v="0"/>
    <n v="0"/>
    <n v="0"/>
    <n v="0"/>
    <n v="0"/>
    <n v="0"/>
    <m/>
    <n v="45.3"/>
    <s v="Unique"/>
    <s v="Valid"/>
    <s v="Valid"/>
    <s v="Valid"/>
    <s v="Valid"/>
    <s v="Valid"/>
    <s v="Outlier"/>
  </r>
  <r>
    <s v="USR-100930"/>
    <d v="2025-03-03T00:00:00"/>
    <x v="1"/>
    <x v="3"/>
    <x v="1"/>
    <x v="1"/>
    <x v="1"/>
    <n v="1"/>
    <n v="1"/>
    <n v="0"/>
    <n v="0"/>
    <n v="0"/>
    <n v="0"/>
    <n v="0"/>
    <m/>
    <n v="49.1"/>
    <s v="Unique"/>
    <s v="Valid"/>
    <s v="Valid"/>
    <s v="Valid"/>
    <s v="Valid"/>
    <s v="Valid"/>
    <s v="Outlier"/>
  </r>
  <r>
    <s v="USR-100931"/>
    <d v="2025-03-31T00:00:00"/>
    <x v="1"/>
    <x v="2"/>
    <x v="0"/>
    <x v="3"/>
    <x v="1"/>
    <n v="1"/>
    <n v="1"/>
    <n v="1"/>
    <n v="1"/>
    <n v="476.44"/>
    <n v="0"/>
    <n v="0"/>
    <n v="3"/>
    <n v="88.6"/>
    <s v="Unique"/>
    <s v="Valid"/>
    <s v="Valid"/>
    <s v="Valid"/>
    <s v="Valid"/>
    <s v="Valid"/>
    <s v="Outlier"/>
  </r>
  <r>
    <s v="USR-100932"/>
    <d v="2025-01-14T00:00:00"/>
    <x v="1"/>
    <x v="2"/>
    <x v="0"/>
    <x v="2"/>
    <x v="2"/>
    <n v="0"/>
    <n v="0"/>
    <n v="0"/>
    <n v="0"/>
    <n v="0"/>
    <n v="1"/>
    <n v="0"/>
    <m/>
    <n v="54.4"/>
    <s v="Unique"/>
    <s v="Valid"/>
    <s v="Valid"/>
    <s v="Valid"/>
    <s v="Valid"/>
    <s v="Valid"/>
    <s v="Outlier"/>
  </r>
  <r>
    <s v="USR-100933"/>
    <d v="2025-01-15T00:00:00"/>
    <x v="1"/>
    <x v="1"/>
    <x v="0"/>
    <x v="2"/>
    <x v="2"/>
    <n v="1"/>
    <n v="0"/>
    <n v="0"/>
    <n v="0"/>
    <n v="0"/>
    <n v="0"/>
    <n v="0"/>
    <m/>
    <n v="72.900000000000006"/>
    <s v="Unique"/>
    <s v="Valid"/>
    <s v="Valid"/>
    <s v="Valid"/>
    <s v="Valid"/>
    <s v="Valid"/>
    <s v="Outlier"/>
  </r>
  <r>
    <s v="USR-100934"/>
    <d v="2025-04-25T00:00:00"/>
    <x v="1"/>
    <x v="1"/>
    <x v="0"/>
    <x v="1"/>
    <x v="1"/>
    <n v="1"/>
    <n v="0"/>
    <n v="0"/>
    <n v="0"/>
    <n v="0"/>
    <n v="0"/>
    <n v="0"/>
    <m/>
    <n v="53.2"/>
    <s v="Unique"/>
    <s v="Valid"/>
    <s v="Valid"/>
    <s v="Valid"/>
    <s v="Valid"/>
    <s v="Valid"/>
    <s v="Outlier"/>
  </r>
  <r>
    <s v="USR-100935"/>
    <d v="2025-03-21T00:00:00"/>
    <x v="1"/>
    <x v="2"/>
    <x v="1"/>
    <x v="1"/>
    <x v="0"/>
    <n v="1"/>
    <n v="1"/>
    <n v="0"/>
    <n v="0"/>
    <n v="0"/>
    <n v="0"/>
    <n v="0"/>
    <m/>
    <n v="48.7"/>
    <s v="Unique"/>
    <s v="Valid"/>
    <s v="Valid"/>
    <s v="Valid"/>
    <s v="Valid"/>
    <s v="Valid"/>
    <s v="Outlier"/>
  </r>
  <r>
    <s v="USR-100936"/>
    <d v="2025-04-26T00:00:00"/>
    <x v="1"/>
    <x v="3"/>
    <x v="1"/>
    <x v="2"/>
    <x v="0"/>
    <n v="1"/>
    <n v="1"/>
    <n v="1"/>
    <n v="0"/>
    <n v="0"/>
    <n v="0"/>
    <n v="0"/>
    <m/>
    <n v="59.9"/>
    <s v="Unique"/>
    <s v="Valid"/>
    <s v="Valid"/>
    <s v="Valid"/>
    <s v="Valid"/>
    <s v="Valid"/>
    <s v="Outlier"/>
  </r>
  <r>
    <s v="USR-100937"/>
    <d v="2025-05-21T00:00:00"/>
    <x v="1"/>
    <x v="3"/>
    <x v="0"/>
    <x v="5"/>
    <x v="0"/>
    <n v="0"/>
    <n v="0"/>
    <n v="0"/>
    <n v="0"/>
    <n v="0"/>
    <n v="0"/>
    <n v="0"/>
    <m/>
    <n v="82"/>
    <s v="Unique"/>
    <s v="Valid"/>
    <s v="Valid"/>
    <s v="Valid"/>
    <s v="Valid"/>
    <s v="Valid"/>
    <s v="Outlier"/>
  </r>
  <r>
    <s v="USR-100938"/>
    <d v="2025-04-18T00:00:00"/>
    <x v="1"/>
    <x v="2"/>
    <x v="1"/>
    <x v="2"/>
    <x v="1"/>
    <n v="0"/>
    <n v="0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0939"/>
    <d v="2025-01-29T00:00:00"/>
    <x v="1"/>
    <x v="0"/>
    <x v="0"/>
    <x v="0"/>
    <x v="2"/>
    <n v="1"/>
    <n v="1"/>
    <n v="0"/>
    <n v="0"/>
    <n v="0"/>
    <n v="0"/>
    <n v="0"/>
    <m/>
    <n v="68.3"/>
    <s v="Unique"/>
    <s v="Valid"/>
    <s v="Valid"/>
    <s v="Valid"/>
    <s v="Valid"/>
    <s v="Valid"/>
    <s v="Outlier"/>
  </r>
  <r>
    <s v="USR-100940"/>
    <d v="2025-05-28T00:00:00"/>
    <x v="1"/>
    <x v="1"/>
    <x v="1"/>
    <x v="1"/>
    <x v="2"/>
    <n v="0"/>
    <n v="0"/>
    <n v="0"/>
    <n v="0"/>
    <n v="0"/>
    <n v="0"/>
    <n v="0"/>
    <m/>
    <n v="100"/>
    <s v="Unique"/>
    <s v="Valid"/>
    <s v="Valid"/>
    <s v="Valid"/>
    <s v="Valid"/>
    <s v="Valid"/>
    <s v="Outlier"/>
  </r>
  <r>
    <s v="USR-100941"/>
    <d v="2025-01-15T00:00:00"/>
    <x v="1"/>
    <x v="2"/>
    <x v="1"/>
    <x v="0"/>
    <x v="1"/>
    <n v="1"/>
    <n v="1"/>
    <n v="1"/>
    <n v="0"/>
    <n v="0"/>
    <n v="2"/>
    <n v="0"/>
    <m/>
    <n v="76.5"/>
    <s v="Unique"/>
    <s v="Valid"/>
    <s v="Valid"/>
    <s v="Valid"/>
    <s v="Valid"/>
    <s v="Valid"/>
    <s v="Outlier"/>
  </r>
  <r>
    <s v="USR-100942"/>
    <d v="2025-01-03T00:00:00"/>
    <x v="1"/>
    <x v="3"/>
    <x v="1"/>
    <x v="1"/>
    <x v="0"/>
    <n v="1"/>
    <n v="1"/>
    <n v="0"/>
    <n v="0"/>
    <n v="0"/>
    <n v="0"/>
    <n v="0"/>
    <m/>
    <n v="62"/>
    <s v="Unique"/>
    <s v="Valid"/>
    <s v="Valid"/>
    <s v="Valid"/>
    <s v="Valid"/>
    <s v="Valid"/>
    <s v="Outlier"/>
  </r>
  <r>
    <s v="USR-100943"/>
    <d v="2025-02-04T00:00:00"/>
    <x v="1"/>
    <x v="3"/>
    <x v="1"/>
    <x v="2"/>
    <x v="1"/>
    <n v="1"/>
    <n v="1"/>
    <n v="1"/>
    <n v="1"/>
    <n v="324.68"/>
    <n v="1"/>
    <n v="0"/>
    <n v="7"/>
    <n v="50.1"/>
    <s v="Unique"/>
    <s v="Valid"/>
    <s v="Valid"/>
    <s v="Valid"/>
    <s v="Valid"/>
    <s v="Valid"/>
    <s v="Outlier"/>
  </r>
  <r>
    <s v="USR-100944"/>
    <d v="2025-02-22T00:00:00"/>
    <x v="1"/>
    <x v="3"/>
    <x v="1"/>
    <x v="3"/>
    <x v="2"/>
    <n v="1"/>
    <n v="0"/>
    <n v="0"/>
    <n v="0"/>
    <n v="0"/>
    <n v="0"/>
    <n v="0"/>
    <m/>
    <n v="62.1"/>
    <s v="Unique"/>
    <s v="Valid"/>
    <s v="Valid"/>
    <s v="Valid"/>
    <s v="Valid"/>
    <s v="Valid"/>
    <s v="Outlier"/>
  </r>
  <r>
    <s v="USR-100945"/>
    <d v="2025-05-06T00:00:00"/>
    <x v="1"/>
    <x v="1"/>
    <x v="1"/>
    <x v="1"/>
    <x v="0"/>
    <n v="1"/>
    <n v="0"/>
    <n v="0"/>
    <n v="0"/>
    <n v="0"/>
    <n v="0"/>
    <n v="0"/>
    <m/>
    <n v="49.7"/>
    <s v="Unique"/>
    <s v="Valid"/>
    <s v="Valid"/>
    <s v="Valid"/>
    <s v="Valid"/>
    <s v="Valid"/>
    <s v="Outlier"/>
  </r>
  <r>
    <s v="USR-100946"/>
    <d v="2025-01-31T00:00:00"/>
    <x v="1"/>
    <x v="3"/>
    <x v="1"/>
    <x v="1"/>
    <x v="1"/>
    <n v="1"/>
    <n v="0"/>
    <n v="0"/>
    <n v="0"/>
    <n v="0"/>
    <n v="3"/>
    <n v="0"/>
    <m/>
    <n v="71.099999999999994"/>
    <s v="Unique"/>
    <s v="Valid"/>
    <s v="Valid"/>
    <s v="Valid"/>
    <s v="Valid"/>
    <s v="Valid"/>
    <s v="Outlier"/>
  </r>
  <r>
    <s v="USR-100947"/>
    <d v="2025-02-18T00:00:00"/>
    <x v="1"/>
    <x v="0"/>
    <x v="1"/>
    <x v="4"/>
    <x v="0"/>
    <n v="0"/>
    <n v="0"/>
    <n v="0"/>
    <n v="0"/>
    <n v="0"/>
    <n v="0"/>
    <n v="0"/>
    <m/>
    <n v="70.8"/>
    <s v="Unique"/>
    <s v="Valid"/>
    <s v="Valid"/>
    <s v="Valid"/>
    <s v="Valid"/>
    <s v="Valid"/>
    <s v="Outlier"/>
  </r>
  <r>
    <s v="USR-100948"/>
    <d v="2025-04-23T00:00:00"/>
    <x v="1"/>
    <x v="2"/>
    <x v="1"/>
    <x v="2"/>
    <x v="1"/>
    <n v="1"/>
    <n v="1"/>
    <n v="1"/>
    <n v="1"/>
    <n v="301.98"/>
    <n v="0"/>
    <n v="0"/>
    <n v="10"/>
    <n v="52.2"/>
    <s v="Unique"/>
    <s v="Valid"/>
    <s v="Valid"/>
    <s v="Valid"/>
    <s v="Valid"/>
    <s v="Valid"/>
    <s v="Outlier"/>
  </r>
  <r>
    <s v="USR-100949"/>
    <d v="2025-02-06T00:00:00"/>
    <x v="1"/>
    <x v="0"/>
    <x v="1"/>
    <x v="1"/>
    <x v="1"/>
    <n v="1"/>
    <n v="1"/>
    <n v="1"/>
    <n v="0"/>
    <n v="0"/>
    <n v="0"/>
    <n v="0"/>
    <m/>
    <n v="73"/>
    <s v="Unique"/>
    <s v="Valid"/>
    <s v="Valid"/>
    <s v="Valid"/>
    <s v="Valid"/>
    <s v="Valid"/>
    <s v="Outlier"/>
  </r>
  <r>
    <s v="USR-100950"/>
    <d v="2025-04-26T00:00:00"/>
    <x v="1"/>
    <x v="3"/>
    <x v="0"/>
    <x v="2"/>
    <x v="1"/>
    <n v="0"/>
    <n v="0"/>
    <n v="0"/>
    <n v="0"/>
    <n v="0"/>
    <n v="0"/>
    <n v="0"/>
    <m/>
    <n v="78.2"/>
    <s v="Unique"/>
    <s v="Valid"/>
    <s v="Valid"/>
    <s v="Valid"/>
    <s v="Valid"/>
    <s v="Valid"/>
    <s v="Outlier"/>
  </r>
  <r>
    <s v="USR-100951"/>
    <d v="2025-03-30T00:00:00"/>
    <x v="1"/>
    <x v="1"/>
    <x v="0"/>
    <x v="2"/>
    <x v="0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0952"/>
    <d v="2025-04-13T00:00:00"/>
    <x v="1"/>
    <x v="1"/>
    <x v="1"/>
    <x v="5"/>
    <x v="2"/>
    <n v="1"/>
    <n v="0"/>
    <n v="0"/>
    <n v="0"/>
    <n v="0"/>
    <n v="0"/>
    <n v="0"/>
    <m/>
    <n v="57.1"/>
    <s v="Unique"/>
    <s v="Valid"/>
    <s v="Valid"/>
    <s v="Valid"/>
    <s v="Valid"/>
    <s v="Valid"/>
    <s v="Outlier"/>
  </r>
  <r>
    <s v="USR-100953"/>
    <d v="2025-04-04T00:00:00"/>
    <x v="1"/>
    <x v="2"/>
    <x v="0"/>
    <x v="1"/>
    <x v="2"/>
    <n v="0"/>
    <n v="0"/>
    <n v="0"/>
    <n v="0"/>
    <n v="0"/>
    <n v="1"/>
    <n v="0"/>
    <m/>
    <n v="74.599999999999994"/>
    <s v="Unique"/>
    <s v="Valid"/>
    <s v="Valid"/>
    <s v="Valid"/>
    <s v="Valid"/>
    <s v="Valid"/>
    <s v="Outlier"/>
  </r>
  <r>
    <s v="USR-100954"/>
    <d v="2025-04-03T00:00:00"/>
    <x v="1"/>
    <x v="0"/>
    <x v="0"/>
    <x v="3"/>
    <x v="1"/>
    <n v="1"/>
    <n v="0"/>
    <n v="0"/>
    <n v="0"/>
    <n v="0"/>
    <n v="1"/>
    <n v="0"/>
    <m/>
    <n v="64.099999999999994"/>
    <s v="Unique"/>
    <s v="Valid"/>
    <s v="Valid"/>
    <s v="Valid"/>
    <s v="Valid"/>
    <s v="Valid"/>
    <s v="Outlier"/>
  </r>
  <r>
    <s v="USR-100955"/>
    <d v="2025-03-14T00:00:00"/>
    <x v="1"/>
    <x v="1"/>
    <x v="1"/>
    <x v="2"/>
    <x v="2"/>
    <n v="1"/>
    <n v="0"/>
    <n v="0"/>
    <n v="0"/>
    <n v="0"/>
    <n v="0"/>
    <n v="0"/>
    <m/>
    <n v="67.3"/>
    <s v="Unique"/>
    <s v="Valid"/>
    <s v="Valid"/>
    <s v="Valid"/>
    <s v="Valid"/>
    <s v="Valid"/>
    <s v="Outlier"/>
  </r>
  <r>
    <s v="USR-100956"/>
    <d v="2025-01-14T00:00:00"/>
    <x v="1"/>
    <x v="1"/>
    <x v="1"/>
    <x v="3"/>
    <x v="1"/>
    <n v="0"/>
    <n v="0"/>
    <n v="0"/>
    <n v="0"/>
    <n v="0"/>
    <n v="2"/>
    <n v="0"/>
    <m/>
    <n v="41"/>
    <s v="Unique"/>
    <s v="Valid"/>
    <s v="Valid"/>
    <s v="Valid"/>
    <s v="Valid"/>
    <s v="Valid"/>
    <s v="Outlier"/>
  </r>
  <r>
    <s v="USR-100957"/>
    <d v="2025-05-05T00:00:00"/>
    <x v="1"/>
    <x v="1"/>
    <x v="1"/>
    <x v="2"/>
    <x v="1"/>
    <n v="0"/>
    <n v="0"/>
    <n v="0"/>
    <n v="0"/>
    <n v="0"/>
    <n v="0"/>
    <n v="0"/>
    <m/>
    <n v="48.1"/>
    <s v="Unique"/>
    <s v="Valid"/>
    <s v="Valid"/>
    <s v="Valid"/>
    <s v="Valid"/>
    <s v="Valid"/>
    <s v="Outlier"/>
  </r>
  <r>
    <s v="USR-100958"/>
    <d v="2025-05-02T00:00:00"/>
    <x v="1"/>
    <x v="1"/>
    <x v="0"/>
    <x v="4"/>
    <x v="1"/>
    <n v="0"/>
    <n v="0"/>
    <n v="0"/>
    <n v="0"/>
    <n v="0"/>
    <n v="1"/>
    <n v="0"/>
    <m/>
    <n v="60.8"/>
    <s v="Unique"/>
    <s v="Valid"/>
    <s v="Valid"/>
    <s v="Valid"/>
    <s v="Valid"/>
    <s v="Valid"/>
    <s v="Outlier"/>
  </r>
  <r>
    <s v="USR-100959"/>
    <d v="2025-05-21T00:00:00"/>
    <x v="1"/>
    <x v="2"/>
    <x v="1"/>
    <x v="1"/>
    <x v="1"/>
    <n v="1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0960"/>
    <d v="2025-05-16T00:00:00"/>
    <x v="1"/>
    <x v="0"/>
    <x v="1"/>
    <x v="3"/>
    <x v="2"/>
    <n v="1"/>
    <n v="0"/>
    <n v="0"/>
    <n v="0"/>
    <n v="0"/>
    <n v="2"/>
    <n v="0"/>
    <m/>
    <n v="49.7"/>
    <s v="Unique"/>
    <s v="Valid"/>
    <s v="Valid"/>
    <s v="Valid"/>
    <s v="Valid"/>
    <s v="Valid"/>
    <s v="Outlier"/>
  </r>
  <r>
    <s v="USR-100961"/>
    <d v="2025-05-24T00:00:00"/>
    <x v="1"/>
    <x v="2"/>
    <x v="0"/>
    <x v="1"/>
    <x v="2"/>
    <n v="1"/>
    <n v="1"/>
    <n v="1"/>
    <n v="0"/>
    <n v="0"/>
    <n v="1"/>
    <n v="0"/>
    <m/>
    <n v="83.4"/>
    <s v="Unique"/>
    <s v="Valid"/>
    <s v="Valid"/>
    <s v="Valid"/>
    <s v="Valid"/>
    <s v="Valid"/>
    <s v="Outlier"/>
  </r>
  <r>
    <s v="USR-100962"/>
    <d v="2025-03-18T00:00:00"/>
    <x v="1"/>
    <x v="2"/>
    <x v="1"/>
    <x v="1"/>
    <x v="0"/>
    <n v="1"/>
    <n v="0"/>
    <n v="0"/>
    <n v="0"/>
    <n v="0"/>
    <n v="0"/>
    <n v="0"/>
    <m/>
    <n v="75.900000000000006"/>
    <s v="Unique"/>
    <s v="Valid"/>
    <s v="Valid"/>
    <s v="Valid"/>
    <s v="Valid"/>
    <s v="Valid"/>
    <s v="Outlier"/>
  </r>
  <r>
    <s v="USR-100963"/>
    <d v="2025-01-11T00:00:00"/>
    <x v="1"/>
    <x v="2"/>
    <x v="0"/>
    <x v="2"/>
    <x v="1"/>
    <n v="0"/>
    <n v="0"/>
    <n v="0"/>
    <n v="0"/>
    <n v="0"/>
    <n v="1"/>
    <n v="0"/>
    <m/>
    <n v="71.8"/>
    <s v="Unique"/>
    <s v="Valid"/>
    <s v="Valid"/>
    <s v="Valid"/>
    <s v="Valid"/>
    <s v="Valid"/>
    <s v="Outlier"/>
  </r>
  <r>
    <s v="USR-100964"/>
    <d v="2025-02-09T00:00:00"/>
    <x v="1"/>
    <x v="3"/>
    <x v="1"/>
    <x v="1"/>
    <x v="0"/>
    <n v="0"/>
    <n v="0"/>
    <n v="0"/>
    <n v="0"/>
    <n v="0"/>
    <n v="0"/>
    <n v="0"/>
    <m/>
    <n v="37.9"/>
    <s v="Unique"/>
    <s v="Valid"/>
    <s v="Valid"/>
    <s v="Valid"/>
    <s v="Valid"/>
    <s v="Valid"/>
    <s v="Outlier"/>
  </r>
  <r>
    <s v="USR-100965"/>
    <d v="2025-03-01T00:00:00"/>
    <x v="1"/>
    <x v="0"/>
    <x v="0"/>
    <x v="4"/>
    <x v="1"/>
    <n v="1"/>
    <n v="0"/>
    <n v="0"/>
    <n v="0"/>
    <n v="0"/>
    <n v="0"/>
    <n v="0"/>
    <m/>
    <n v="59.8"/>
    <s v="Unique"/>
    <s v="Valid"/>
    <s v="Valid"/>
    <s v="Valid"/>
    <s v="Valid"/>
    <s v="Valid"/>
    <s v="Outlier"/>
  </r>
  <r>
    <s v="USR-100966"/>
    <d v="2025-05-07T00:00:00"/>
    <x v="1"/>
    <x v="0"/>
    <x v="1"/>
    <x v="1"/>
    <x v="0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0967"/>
    <d v="2025-02-19T00:00:00"/>
    <x v="1"/>
    <x v="3"/>
    <x v="0"/>
    <x v="5"/>
    <x v="1"/>
    <n v="1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0968"/>
    <d v="2025-02-26T00:00:00"/>
    <x v="1"/>
    <x v="1"/>
    <x v="1"/>
    <x v="1"/>
    <x v="2"/>
    <n v="1"/>
    <n v="0"/>
    <n v="0"/>
    <n v="0"/>
    <n v="0"/>
    <n v="0"/>
    <n v="0"/>
    <m/>
    <n v="80.099999999999994"/>
    <s v="Unique"/>
    <s v="Valid"/>
    <s v="Valid"/>
    <s v="Valid"/>
    <s v="Valid"/>
    <s v="Valid"/>
    <s v="Outlier"/>
  </r>
  <r>
    <s v="USR-100969"/>
    <d v="2025-03-23T00:00:00"/>
    <x v="1"/>
    <x v="3"/>
    <x v="1"/>
    <x v="4"/>
    <x v="1"/>
    <n v="0"/>
    <n v="0"/>
    <n v="0"/>
    <n v="0"/>
    <n v="0"/>
    <n v="0"/>
    <n v="0"/>
    <m/>
    <n v="64.3"/>
    <s v="Unique"/>
    <s v="Valid"/>
    <s v="Valid"/>
    <s v="Valid"/>
    <s v="Valid"/>
    <s v="Valid"/>
    <s v="Outlier"/>
  </r>
  <r>
    <s v="USR-100970"/>
    <d v="2025-04-25T00:00:00"/>
    <x v="1"/>
    <x v="3"/>
    <x v="0"/>
    <x v="4"/>
    <x v="1"/>
    <n v="0"/>
    <n v="0"/>
    <n v="0"/>
    <n v="0"/>
    <n v="0"/>
    <n v="1"/>
    <n v="0"/>
    <m/>
    <n v="57.4"/>
    <s v="Unique"/>
    <s v="Valid"/>
    <s v="Valid"/>
    <s v="Valid"/>
    <s v="Valid"/>
    <s v="Valid"/>
    <s v="Outlier"/>
  </r>
  <r>
    <s v="USR-100971"/>
    <d v="2025-05-10T00:00:00"/>
    <x v="1"/>
    <x v="0"/>
    <x v="0"/>
    <x v="4"/>
    <x v="1"/>
    <n v="1"/>
    <n v="1"/>
    <n v="1"/>
    <n v="0"/>
    <n v="0"/>
    <n v="0"/>
    <n v="0"/>
    <m/>
    <n v="83.6"/>
    <s v="Unique"/>
    <s v="Valid"/>
    <s v="Valid"/>
    <s v="Valid"/>
    <s v="Valid"/>
    <s v="Valid"/>
    <s v="Outlier"/>
  </r>
  <r>
    <s v="USR-100972"/>
    <d v="2025-04-22T00:00:00"/>
    <x v="1"/>
    <x v="2"/>
    <x v="1"/>
    <x v="2"/>
    <x v="2"/>
    <n v="0"/>
    <n v="0"/>
    <n v="0"/>
    <n v="0"/>
    <n v="0"/>
    <n v="0"/>
    <n v="0"/>
    <m/>
    <n v="45.8"/>
    <s v="Unique"/>
    <s v="Valid"/>
    <s v="Valid"/>
    <s v="Valid"/>
    <s v="Valid"/>
    <s v="Valid"/>
    <s v="Outlier"/>
  </r>
  <r>
    <s v="USR-100973"/>
    <d v="2025-02-18T00:00:00"/>
    <x v="1"/>
    <x v="1"/>
    <x v="1"/>
    <x v="3"/>
    <x v="0"/>
    <n v="1"/>
    <n v="1"/>
    <n v="1"/>
    <n v="0"/>
    <n v="0"/>
    <n v="0"/>
    <n v="0"/>
    <m/>
    <n v="64.3"/>
    <s v="Unique"/>
    <s v="Valid"/>
    <s v="Valid"/>
    <s v="Valid"/>
    <s v="Valid"/>
    <s v="Valid"/>
    <s v="Outlier"/>
  </r>
  <r>
    <s v="USR-100974"/>
    <d v="2025-01-26T00:00:00"/>
    <x v="1"/>
    <x v="3"/>
    <x v="1"/>
    <x v="2"/>
    <x v="2"/>
    <n v="1"/>
    <n v="1"/>
    <n v="1"/>
    <n v="0"/>
    <n v="0"/>
    <n v="0"/>
    <n v="0"/>
    <m/>
    <n v="80.5"/>
    <s v="Unique"/>
    <s v="Valid"/>
    <s v="Valid"/>
    <s v="Valid"/>
    <s v="Valid"/>
    <s v="Valid"/>
    <s v="Outlier"/>
  </r>
  <r>
    <s v="USR-100975"/>
    <d v="2025-04-28T00:00:00"/>
    <x v="1"/>
    <x v="0"/>
    <x v="1"/>
    <x v="1"/>
    <x v="1"/>
    <n v="1"/>
    <n v="0"/>
    <n v="0"/>
    <n v="0"/>
    <n v="0"/>
    <n v="0"/>
    <n v="0"/>
    <m/>
    <n v="46.3"/>
    <s v="Unique"/>
    <s v="Valid"/>
    <s v="Valid"/>
    <s v="Valid"/>
    <s v="Valid"/>
    <s v="Valid"/>
    <s v="Outlier"/>
  </r>
  <r>
    <s v="USR-100976"/>
    <d v="2025-04-02T00:00:00"/>
    <x v="1"/>
    <x v="3"/>
    <x v="0"/>
    <x v="0"/>
    <x v="0"/>
    <n v="1"/>
    <n v="0"/>
    <n v="0"/>
    <n v="0"/>
    <n v="0"/>
    <n v="0"/>
    <n v="0"/>
    <m/>
    <n v="71.599999999999994"/>
    <s v="Unique"/>
    <s v="Valid"/>
    <s v="Valid"/>
    <s v="Valid"/>
    <s v="Valid"/>
    <s v="Valid"/>
    <s v="Outlier"/>
  </r>
  <r>
    <s v="USR-100977"/>
    <d v="2025-04-12T00:00:00"/>
    <x v="1"/>
    <x v="3"/>
    <x v="0"/>
    <x v="0"/>
    <x v="2"/>
    <n v="1"/>
    <n v="1"/>
    <n v="0"/>
    <n v="0"/>
    <n v="0"/>
    <n v="0"/>
    <n v="0"/>
    <m/>
    <n v="57.8"/>
    <s v="Unique"/>
    <s v="Valid"/>
    <s v="Valid"/>
    <s v="Valid"/>
    <s v="Valid"/>
    <s v="Valid"/>
    <s v="Outlier"/>
  </r>
  <r>
    <s v="USR-100978"/>
    <d v="2025-01-03T00:00:00"/>
    <x v="1"/>
    <x v="1"/>
    <x v="0"/>
    <x v="0"/>
    <x v="0"/>
    <n v="1"/>
    <n v="1"/>
    <n v="1"/>
    <n v="0"/>
    <n v="0"/>
    <n v="1"/>
    <n v="0"/>
    <m/>
    <n v="57.8"/>
    <s v="Unique"/>
    <s v="Valid"/>
    <s v="Valid"/>
    <s v="Valid"/>
    <s v="Valid"/>
    <s v="Valid"/>
    <s v="Outlier"/>
  </r>
  <r>
    <s v="USR-100979"/>
    <d v="2025-05-08T00:00:00"/>
    <x v="1"/>
    <x v="0"/>
    <x v="1"/>
    <x v="2"/>
    <x v="1"/>
    <n v="1"/>
    <n v="0"/>
    <n v="0"/>
    <n v="0"/>
    <n v="0"/>
    <n v="0"/>
    <n v="0"/>
    <m/>
    <n v="38.299999999999997"/>
    <s v="Unique"/>
    <s v="Valid"/>
    <s v="Valid"/>
    <s v="Valid"/>
    <s v="Valid"/>
    <s v="Valid"/>
    <s v="Outlier"/>
  </r>
  <r>
    <s v="USR-100980"/>
    <d v="2025-02-20T00:00:00"/>
    <x v="1"/>
    <x v="0"/>
    <x v="1"/>
    <x v="3"/>
    <x v="2"/>
    <n v="1"/>
    <n v="0"/>
    <n v="0"/>
    <n v="0"/>
    <n v="0"/>
    <n v="1"/>
    <n v="0"/>
    <m/>
    <n v="66.099999999999994"/>
    <s v="Unique"/>
    <s v="Valid"/>
    <s v="Valid"/>
    <s v="Valid"/>
    <s v="Valid"/>
    <s v="Valid"/>
    <s v="Outlier"/>
  </r>
  <r>
    <s v="USR-100981"/>
    <d v="2025-03-17T00:00:00"/>
    <x v="1"/>
    <x v="0"/>
    <x v="0"/>
    <x v="2"/>
    <x v="2"/>
    <n v="1"/>
    <n v="0"/>
    <n v="0"/>
    <n v="0"/>
    <n v="0"/>
    <n v="0"/>
    <n v="0"/>
    <m/>
    <n v="66.5"/>
    <s v="Unique"/>
    <s v="Valid"/>
    <s v="Valid"/>
    <s v="Valid"/>
    <s v="Valid"/>
    <s v="Valid"/>
    <s v="Outlier"/>
  </r>
  <r>
    <s v="USR-100982"/>
    <d v="2025-04-10T00:00:00"/>
    <x v="1"/>
    <x v="3"/>
    <x v="0"/>
    <x v="0"/>
    <x v="1"/>
    <n v="1"/>
    <n v="0"/>
    <n v="0"/>
    <n v="0"/>
    <n v="0"/>
    <n v="3"/>
    <n v="0"/>
    <m/>
    <n v="51.5"/>
    <s v="Unique"/>
    <s v="Valid"/>
    <s v="Valid"/>
    <s v="Valid"/>
    <s v="Valid"/>
    <s v="Valid"/>
    <s v="Outlier"/>
  </r>
  <r>
    <s v="USR-100983"/>
    <d v="2025-05-08T00:00:00"/>
    <x v="1"/>
    <x v="0"/>
    <x v="0"/>
    <x v="3"/>
    <x v="1"/>
    <n v="1"/>
    <n v="0"/>
    <n v="0"/>
    <n v="0"/>
    <n v="0"/>
    <n v="0"/>
    <n v="0"/>
    <m/>
    <n v="59.9"/>
    <s v="Unique"/>
    <s v="Valid"/>
    <s v="Valid"/>
    <s v="Valid"/>
    <s v="Valid"/>
    <s v="Valid"/>
    <s v="Outlier"/>
  </r>
  <r>
    <s v="USR-100984"/>
    <d v="2025-04-19T00:00:00"/>
    <x v="1"/>
    <x v="1"/>
    <x v="1"/>
    <x v="2"/>
    <x v="0"/>
    <n v="1"/>
    <n v="0"/>
    <n v="0"/>
    <n v="0"/>
    <n v="0"/>
    <n v="0"/>
    <n v="0"/>
    <m/>
    <n v="58.8"/>
    <s v="Unique"/>
    <s v="Valid"/>
    <s v="Valid"/>
    <s v="Valid"/>
    <s v="Valid"/>
    <s v="Valid"/>
    <s v="Outlier"/>
  </r>
  <r>
    <s v="USR-100985"/>
    <d v="2025-01-01T00:00:00"/>
    <x v="1"/>
    <x v="3"/>
    <x v="2"/>
    <x v="2"/>
    <x v="0"/>
    <n v="1"/>
    <n v="0"/>
    <n v="0"/>
    <n v="0"/>
    <n v="0"/>
    <n v="0"/>
    <n v="0"/>
    <m/>
    <n v="69.599999999999994"/>
    <s v="Unique"/>
    <s v="Valid"/>
    <s v="Valid"/>
    <s v="Valid"/>
    <s v="Valid"/>
    <s v="Valid"/>
    <s v="Outlier"/>
  </r>
  <r>
    <s v="USR-100986"/>
    <d v="2025-03-10T00:00:00"/>
    <x v="1"/>
    <x v="2"/>
    <x v="1"/>
    <x v="2"/>
    <x v="1"/>
    <n v="1"/>
    <n v="0"/>
    <n v="0"/>
    <n v="0"/>
    <n v="0"/>
    <n v="0"/>
    <n v="0"/>
    <m/>
    <n v="77.5"/>
    <s v="Unique"/>
    <s v="Valid"/>
    <s v="Valid"/>
    <s v="Valid"/>
    <s v="Valid"/>
    <s v="Valid"/>
    <s v="Outlier"/>
  </r>
  <r>
    <s v="USR-100987"/>
    <d v="2025-03-10T00:00:00"/>
    <x v="1"/>
    <x v="2"/>
    <x v="2"/>
    <x v="4"/>
    <x v="2"/>
    <n v="0"/>
    <n v="0"/>
    <n v="0"/>
    <n v="0"/>
    <n v="0"/>
    <n v="2"/>
    <n v="0"/>
    <m/>
    <n v="57.5"/>
    <s v="Unique"/>
    <s v="Valid"/>
    <s v="Valid"/>
    <s v="Valid"/>
    <s v="Valid"/>
    <s v="Valid"/>
    <s v="Outlier"/>
  </r>
  <r>
    <s v="USR-100988"/>
    <d v="2025-04-19T00:00:00"/>
    <x v="1"/>
    <x v="1"/>
    <x v="2"/>
    <x v="0"/>
    <x v="0"/>
    <n v="1"/>
    <n v="0"/>
    <n v="0"/>
    <n v="0"/>
    <n v="0"/>
    <n v="0"/>
    <n v="0"/>
    <m/>
    <n v="64.2"/>
    <s v="Unique"/>
    <s v="Valid"/>
    <s v="Valid"/>
    <s v="Valid"/>
    <s v="Valid"/>
    <s v="Valid"/>
    <s v="Outlier"/>
  </r>
  <r>
    <s v="USR-100989"/>
    <d v="2025-04-11T00:00:00"/>
    <x v="1"/>
    <x v="1"/>
    <x v="0"/>
    <x v="1"/>
    <x v="1"/>
    <n v="0"/>
    <n v="0"/>
    <n v="0"/>
    <n v="0"/>
    <n v="0"/>
    <n v="0"/>
    <n v="0"/>
    <m/>
    <n v="60"/>
    <s v="Unique"/>
    <s v="Valid"/>
    <s v="Valid"/>
    <s v="Valid"/>
    <s v="Valid"/>
    <s v="Valid"/>
    <s v="Outlier"/>
  </r>
  <r>
    <s v="USR-100990"/>
    <d v="2025-04-10T00:00:00"/>
    <x v="1"/>
    <x v="2"/>
    <x v="1"/>
    <x v="1"/>
    <x v="0"/>
    <n v="1"/>
    <n v="0"/>
    <n v="0"/>
    <n v="0"/>
    <n v="0"/>
    <n v="1"/>
    <n v="0"/>
    <m/>
    <n v="43.7"/>
    <s v="Unique"/>
    <s v="Valid"/>
    <s v="Valid"/>
    <s v="Valid"/>
    <s v="Valid"/>
    <s v="Valid"/>
    <s v="Outlier"/>
  </r>
  <r>
    <s v="USR-100991"/>
    <d v="2025-01-13T00:00:00"/>
    <x v="1"/>
    <x v="1"/>
    <x v="0"/>
    <x v="4"/>
    <x v="1"/>
    <n v="1"/>
    <n v="0"/>
    <n v="0"/>
    <n v="0"/>
    <n v="0"/>
    <n v="0"/>
    <n v="0"/>
    <m/>
    <n v="64.900000000000006"/>
    <s v="Unique"/>
    <s v="Valid"/>
    <s v="Valid"/>
    <s v="Valid"/>
    <s v="Valid"/>
    <s v="Valid"/>
    <s v="Outlier"/>
  </r>
  <r>
    <s v="USR-100992"/>
    <d v="2025-03-28T00:00:00"/>
    <x v="1"/>
    <x v="3"/>
    <x v="0"/>
    <x v="1"/>
    <x v="1"/>
    <n v="1"/>
    <n v="1"/>
    <n v="0"/>
    <n v="0"/>
    <n v="0"/>
    <n v="0"/>
    <n v="0"/>
    <m/>
    <n v="45.5"/>
    <s v="Unique"/>
    <s v="Valid"/>
    <s v="Valid"/>
    <s v="Valid"/>
    <s v="Valid"/>
    <s v="Valid"/>
    <s v="Outlier"/>
  </r>
  <r>
    <s v="USR-100993"/>
    <d v="2025-01-29T00:00:00"/>
    <x v="1"/>
    <x v="2"/>
    <x v="1"/>
    <x v="2"/>
    <x v="1"/>
    <n v="1"/>
    <n v="1"/>
    <n v="1"/>
    <n v="1"/>
    <n v="1772.97"/>
    <n v="0"/>
    <n v="0"/>
    <n v="8"/>
    <n v="61.2"/>
    <s v="Unique"/>
    <s v="Valid"/>
    <s v="Valid"/>
    <s v="Valid"/>
    <s v="Valid"/>
    <s v="Valid"/>
    <s v="Outlier"/>
  </r>
  <r>
    <s v="USR-100994"/>
    <d v="2025-03-27T00:00:00"/>
    <x v="1"/>
    <x v="3"/>
    <x v="1"/>
    <x v="3"/>
    <x v="1"/>
    <n v="0"/>
    <n v="0"/>
    <n v="0"/>
    <n v="0"/>
    <n v="0"/>
    <n v="0"/>
    <n v="0"/>
    <m/>
    <n v="87.8"/>
    <s v="Unique"/>
    <s v="Valid"/>
    <s v="Valid"/>
    <s v="Valid"/>
    <s v="Valid"/>
    <s v="Valid"/>
    <s v="Outlier"/>
  </r>
  <r>
    <s v="USR-100995"/>
    <d v="2025-03-20T00:00:00"/>
    <x v="1"/>
    <x v="2"/>
    <x v="2"/>
    <x v="4"/>
    <x v="1"/>
    <n v="0"/>
    <n v="0"/>
    <n v="0"/>
    <n v="0"/>
    <n v="0"/>
    <n v="0"/>
    <n v="0"/>
    <m/>
    <n v="86.4"/>
    <s v="Unique"/>
    <s v="Valid"/>
    <s v="Valid"/>
    <s v="Valid"/>
    <s v="Valid"/>
    <s v="Valid"/>
    <s v="Outlier"/>
  </r>
  <r>
    <s v="USR-100996"/>
    <d v="2025-01-09T00:00:00"/>
    <x v="1"/>
    <x v="0"/>
    <x v="1"/>
    <x v="2"/>
    <x v="0"/>
    <n v="0"/>
    <n v="0"/>
    <n v="0"/>
    <n v="0"/>
    <n v="0"/>
    <n v="1"/>
    <n v="0"/>
    <m/>
    <n v="71.400000000000006"/>
    <s v="Unique"/>
    <s v="Valid"/>
    <s v="Valid"/>
    <s v="Valid"/>
    <s v="Valid"/>
    <s v="Valid"/>
    <s v="Outlier"/>
  </r>
  <r>
    <s v="USR-100997"/>
    <d v="2025-04-25T00:00:00"/>
    <x v="1"/>
    <x v="1"/>
    <x v="1"/>
    <x v="4"/>
    <x v="1"/>
    <n v="1"/>
    <n v="1"/>
    <n v="1"/>
    <n v="1"/>
    <n v="218.66"/>
    <n v="0"/>
    <n v="1"/>
    <n v="8"/>
    <n v="72.2"/>
    <s v="Unique"/>
    <s v="Valid"/>
    <s v="Valid"/>
    <s v="Valid"/>
    <s v="Valid"/>
    <s v="Valid"/>
    <s v="Outlier"/>
  </r>
  <r>
    <s v="USR-100998"/>
    <d v="2025-04-11T00:00:00"/>
    <x v="1"/>
    <x v="3"/>
    <x v="0"/>
    <x v="4"/>
    <x v="1"/>
    <n v="1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0999"/>
    <d v="2025-02-05T00:00:00"/>
    <x v="1"/>
    <x v="2"/>
    <x v="1"/>
    <x v="4"/>
    <x v="0"/>
    <n v="1"/>
    <n v="1"/>
    <n v="1"/>
    <n v="0"/>
    <n v="0"/>
    <n v="0"/>
    <n v="0"/>
    <m/>
    <n v="70.3"/>
    <s v="Unique"/>
    <s v="Valid"/>
    <s v="Valid"/>
    <s v="Valid"/>
    <s v="Valid"/>
    <s v="Valid"/>
    <s v="Outlier"/>
  </r>
  <r>
    <s v="USR-101000"/>
    <d v="2025-03-28T00:00:00"/>
    <x v="1"/>
    <x v="3"/>
    <x v="1"/>
    <x v="4"/>
    <x v="2"/>
    <n v="1"/>
    <n v="0"/>
    <n v="0"/>
    <n v="0"/>
    <n v="0"/>
    <n v="1"/>
    <n v="0"/>
    <m/>
    <n v="49.2"/>
    <s v="Unique"/>
    <s v="Valid"/>
    <s v="Valid"/>
    <s v="Valid"/>
    <s v="Valid"/>
    <s v="Valid"/>
    <s v="Outlier"/>
  </r>
  <r>
    <s v="USR-101001"/>
    <d v="2025-05-14T00:00:00"/>
    <x v="1"/>
    <x v="3"/>
    <x v="1"/>
    <x v="3"/>
    <x v="1"/>
    <n v="0"/>
    <n v="0"/>
    <n v="0"/>
    <n v="0"/>
    <n v="0"/>
    <n v="0"/>
    <n v="0"/>
    <m/>
    <n v="52.2"/>
    <s v="Unique"/>
    <s v="Valid"/>
    <s v="Valid"/>
    <s v="Valid"/>
    <s v="Valid"/>
    <s v="Valid"/>
    <s v="Outlier"/>
  </r>
  <r>
    <s v="USR-101002"/>
    <d v="2025-03-10T00:00:00"/>
    <x v="1"/>
    <x v="2"/>
    <x v="1"/>
    <x v="2"/>
    <x v="0"/>
    <n v="0"/>
    <n v="0"/>
    <n v="0"/>
    <n v="0"/>
    <n v="0"/>
    <n v="1"/>
    <n v="0"/>
    <m/>
    <n v="62.6"/>
    <s v="Unique"/>
    <s v="Valid"/>
    <s v="Valid"/>
    <s v="Valid"/>
    <s v="Valid"/>
    <s v="Valid"/>
    <s v="Outlier"/>
  </r>
  <r>
    <s v="USR-101003"/>
    <d v="2025-04-09T00:00:00"/>
    <x v="1"/>
    <x v="2"/>
    <x v="0"/>
    <x v="2"/>
    <x v="1"/>
    <n v="1"/>
    <n v="1"/>
    <n v="0"/>
    <n v="0"/>
    <n v="0"/>
    <n v="0"/>
    <n v="0"/>
    <m/>
    <n v="100"/>
    <s v="Unique"/>
    <s v="Valid"/>
    <s v="Valid"/>
    <s v="Valid"/>
    <s v="Valid"/>
    <s v="Valid"/>
    <s v="Outlier"/>
  </r>
  <r>
    <s v="USR-101004"/>
    <d v="2025-02-13T00:00:00"/>
    <x v="1"/>
    <x v="0"/>
    <x v="1"/>
    <x v="3"/>
    <x v="0"/>
    <n v="1"/>
    <n v="1"/>
    <n v="1"/>
    <n v="0"/>
    <n v="0"/>
    <n v="2"/>
    <n v="0"/>
    <m/>
    <n v="45.9"/>
    <s v="Unique"/>
    <s v="Valid"/>
    <s v="Valid"/>
    <s v="Valid"/>
    <s v="Valid"/>
    <s v="Valid"/>
    <s v="Outlier"/>
  </r>
  <r>
    <s v="USR-101005"/>
    <d v="2025-05-03T00:00:00"/>
    <x v="1"/>
    <x v="2"/>
    <x v="1"/>
    <x v="0"/>
    <x v="1"/>
    <n v="1"/>
    <n v="1"/>
    <n v="1"/>
    <n v="0"/>
    <n v="0"/>
    <n v="0"/>
    <n v="0"/>
    <m/>
    <n v="80.7"/>
    <s v="Unique"/>
    <s v="Valid"/>
    <s v="Valid"/>
    <s v="Valid"/>
    <s v="Valid"/>
    <s v="Valid"/>
    <s v="Outlier"/>
  </r>
  <r>
    <s v="USR-101006"/>
    <d v="2025-04-16T00:00:00"/>
    <x v="1"/>
    <x v="3"/>
    <x v="0"/>
    <x v="3"/>
    <x v="2"/>
    <n v="1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1007"/>
    <d v="2025-04-30T00:00:00"/>
    <x v="1"/>
    <x v="0"/>
    <x v="1"/>
    <x v="2"/>
    <x v="2"/>
    <n v="1"/>
    <n v="0"/>
    <n v="0"/>
    <n v="0"/>
    <n v="0"/>
    <n v="0"/>
    <n v="0"/>
    <m/>
    <n v="68.900000000000006"/>
    <s v="Unique"/>
    <s v="Valid"/>
    <s v="Valid"/>
    <s v="Valid"/>
    <s v="Valid"/>
    <s v="Valid"/>
    <s v="Outlier"/>
  </r>
  <r>
    <s v="USR-101008"/>
    <d v="2025-02-18T00:00:00"/>
    <x v="1"/>
    <x v="1"/>
    <x v="0"/>
    <x v="1"/>
    <x v="1"/>
    <n v="1"/>
    <n v="0"/>
    <n v="0"/>
    <n v="0"/>
    <n v="0"/>
    <n v="0"/>
    <n v="0"/>
    <m/>
    <n v="66"/>
    <s v="Unique"/>
    <s v="Valid"/>
    <s v="Valid"/>
    <s v="Valid"/>
    <s v="Valid"/>
    <s v="Valid"/>
    <s v="Outlier"/>
  </r>
  <r>
    <s v="USR-101009"/>
    <d v="2025-05-22T00:00:00"/>
    <x v="1"/>
    <x v="1"/>
    <x v="0"/>
    <x v="3"/>
    <x v="0"/>
    <n v="0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1010"/>
    <d v="2025-05-21T00:00:00"/>
    <x v="1"/>
    <x v="3"/>
    <x v="0"/>
    <x v="1"/>
    <x v="1"/>
    <n v="0"/>
    <n v="0"/>
    <n v="0"/>
    <n v="0"/>
    <n v="0"/>
    <n v="0"/>
    <n v="0"/>
    <m/>
    <n v="56"/>
    <s v="Unique"/>
    <s v="Valid"/>
    <s v="Valid"/>
    <s v="Valid"/>
    <s v="Valid"/>
    <s v="Valid"/>
    <s v="Outlier"/>
  </r>
  <r>
    <s v="USR-101011"/>
    <d v="2025-04-10T00:00:00"/>
    <x v="1"/>
    <x v="2"/>
    <x v="0"/>
    <x v="1"/>
    <x v="1"/>
    <n v="1"/>
    <n v="0"/>
    <n v="0"/>
    <n v="0"/>
    <n v="0"/>
    <n v="1"/>
    <n v="0"/>
    <m/>
    <n v="65.7"/>
    <s v="Unique"/>
    <s v="Valid"/>
    <s v="Valid"/>
    <s v="Valid"/>
    <s v="Valid"/>
    <s v="Valid"/>
    <s v="Outlier"/>
  </r>
  <r>
    <s v="USR-101012"/>
    <d v="2025-01-07T00:00:00"/>
    <x v="1"/>
    <x v="0"/>
    <x v="0"/>
    <x v="1"/>
    <x v="2"/>
    <n v="1"/>
    <n v="1"/>
    <n v="1"/>
    <n v="1"/>
    <n v="1938.31"/>
    <n v="1"/>
    <n v="0"/>
    <n v="9"/>
    <n v="60.9"/>
    <s v="Unique"/>
    <s v="Valid"/>
    <s v="Valid"/>
    <s v="Valid"/>
    <s v="Valid"/>
    <s v="Valid"/>
    <s v="Outlier"/>
  </r>
  <r>
    <s v="USR-101013"/>
    <d v="2025-02-03T00:00:00"/>
    <x v="1"/>
    <x v="3"/>
    <x v="0"/>
    <x v="4"/>
    <x v="1"/>
    <n v="0"/>
    <n v="0"/>
    <n v="0"/>
    <n v="0"/>
    <n v="0"/>
    <n v="0"/>
    <n v="0"/>
    <m/>
    <n v="45.5"/>
    <s v="Unique"/>
    <s v="Valid"/>
    <s v="Valid"/>
    <s v="Valid"/>
    <s v="Valid"/>
    <s v="Valid"/>
    <s v="Outlier"/>
  </r>
  <r>
    <s v="USR-101014"/>
    <d v="2025-05-18T00:00:00"/>
    <x v="1"/>
    <x v="0"/>
    <x v="1"/>
    <x v="2"/>
    <x v="1"/>
    <n v="1"/>
    <n v="0"/>
    <n v="0"/>
    <n v="0"/>
    <n v="0"/>
    <n v="0"/>
    <n v="0"/>
    <m/>
    <n v="50"/>
    <s v="Unique"/>
    <s v="Valid"/>
    <s v="Valid"/>
    <s v="Valid"/>
    <s v="Valid"/>
    <s v="Valid"/>
    <s v="Outlier"/>
  </r>
  <r>
    <s v="USR-101015"/>
    <d v="2025-01-31T00:00:00"/>
    <x v="1"/>
    <x v="0"/>
    <x v="1"/>
    <x v="3"/>
    <x v="1"/>
    <n v="1"/>
    <n v="0"/>
    <n v="0"/>
    <n v="0"/>
    <n v="0"/>
    <n v="0"/>
    <n v="0"/>
    <m/>
    <n v="72.099999999999994"/>
    <s v="Unique"/>
    <s v="Valid"/>
    <s v="Valid"/>
    <s v="Valid"/>
    <s v="Valid"/>
    <s v="Valid"/>
    <s v="Outlier"/>
  </r>
  <r>
    <s v="USR-101016"/>
    <d v="2025-01-16T00:00:00"/>
    <x v="1"/>
    <x v="3"/>
    <x v="0"/>
    <x v="1"/>
    <x v="0"/>
    <n v="1"/>
    <n v="0"/>
    <n v="0"/>
    <n v="0"/>
    <n v="0"/>
    <n v="0"/>
    <n v="0"/>
    <m/>
    <n v="76.3"/>
    <s v="Unique"/>
    <s v="Valid"/>
    <s v="Valid"/>
    <s v="Valid"/>
    <s v="Valid"/>
    <s v="Valid"/>
    <s v="Outlier"/>
  </r>
  <r>
    <s v="USR-101017"/>
    <d v="2025-05-14T00:00:00"/>
    <x v="1"/>
    <x v="2"/>
    <x v="1"/>
    <x v="2"/>
    <x v="0"/>
    <n v="1"/>
    <n v="1"/>
    <n v="0"/>
    <n v="0"/>
    <n v="0"/>
    <n v="1"/>
    <n v="0"/>
    <m/>
    <n v="54.8"/>
    <s v="Unique"/>
    <s v="Valid"/>
    <s v="Valid"/>
    <s v="Valid"/>
    <s v="Valid"/>
    <s v="Valid"/>
    <s v="Outlier"/>
  </r>
  <r>
    <s v="USR-101018"/>
    <d v="2025-04-01T00:00:00"/>
    <x v="1"/>
    <x v="3"/>
    <x v="1"/>
    <x v="5"/>
    <x v="0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1019"/>
    <d v="2025-04-23T00:00:00"/>
    <x v="1"/>
    <x v="3"/>
    <x v="1"/>
    <x v="1"/>
    <x v="1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020"/>
    <d v="2025-03-02T00:00:00"/>
    <x v="1"/>
    <x v="3"/>
    <x v="0"/>
    <x v="2"/>
    <x v="0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1021"/>
    <d v="2025-01-02T00:00:00"/>
    <x v="1"/>
    <x v="2"/>
    <x v="1"/>
    <x v="2"/>
    <x v="0"/>
    <n v="0"/>
    <n v="0"/>
    <n v="0"/>
    <n v="0"/>
    <n v="0"/>
    <n v="0"/>
    <n v="0"/>
    <m/>
    <n v="45"/>
    <s v="Unique"/>
    <s v="Valid"/>
    <s v="Valid"/>
    <s v="Valid"/>
    <s v="Valid"/>
    <s v="Valid"/>
    <s v="Outlier"/>
  </r>
  <r>
    <s v="USR-101022"/>
    <d v="2025-05-04T00:00:00"/>
    <x v="1"/>
    <x v="3"/>
    <x v="1"/>
    <x v="1"/>
    <x v="1"/>
    <n v="1"/>
    <n v="0"/>
    <n v="0"/>
    <n v="0"/>
    <n v="0"/>
    <n v="0"/>
    <n v="0"/>
    <m/>
    <n v="77.400000000000006"/>
    <s v="Unique"/>
    <s v="Valid"/>
    <s v="Valid"/>
    <s v="Valid"/>
    <s v="Valid"/>
    <s v="Valid"/>
    <s v="Outlier"/>
  </r>
  <r>
    <s v="USR-101023"/>
    <d v="2025-01-16T00:00:00"/>
    <x v="1"/>
    <x v="2"/>
    <x v="0"/>
    <x v="2"/>
    <x v="0"/>
    <n v="0"/>
    <n v="0"/>
    <n v="0"/>
    <n v="0"/>
    <n v="0"/>
    <n v="0"/>
    <n v="0"/>
    <m/>
    <n v="53.1"/>
    <s v="Unique"/>
    <s v="Valid"/>
    <s v="Valid"/>
    <s v="Valid"/>
    <s v="Valid"/>
    <s v="Valid"/>
    <s v="Outlier"/>
  </r>
  <r>
    <s v="USR-101024"/>
    <d v="2025-02-11T00:00:00"/>
    <x v="1"/>
    <x v="1"/>
    <x v="2"/>
    <x v="2"/>
    <x v="2"/>
    <n v="0"/>
    <n v="0"/>
    <n v="0"/>
    <n v="0"/>
    <n v="0"/>
    <n v="0"/>
    <n v="0"/>
    <m/>
    <n v="74"/>
    <s v="Unique"/>
    <s v="Valid"/>
    <s v="Valid"/>
    <s v="Valid"/>
    <s v="Valid"/>
    <s v="Valid"/>
    <s v="Outlier"/>
  </r>
  <r>
    <s v="USR-101025"/>
    <d v="2025-04-03T00:00:00"/>
    <x v="1"/>
    <x v="0"/>
    <x v="1"/>
    <x v="4"/>
    <x v="2"/>
    <n v="1"/>
    <n v="1"/>
    <n v="1"/>
    <n v="1"/>
    <n v="1906.23"/>
    <n v="0"/>
    <n v="0"/>
    <n v="4"/>
    <n v="84.6"/>
    <s v="Unique"/>
    <s v="Valid"/>
    <s v="Valid"/>
    <s v="Valid"/>
    <s v="Valid"/>
    <s v="Valid"/>
    <s v="Outlier"/>
  </r>
  <r>
    <s v="USR-101026"/>
    <d v="2025-03-26T00:00:00"/>
    <x v="1"/>
    <x v="2"/>
    <x v="1"/>
    <x v="3"/>
    <x v="1"/>
    <n v="1"/>
    <n v="0"/>
    <n v="0"/>
    <n v="0"/>
    <n v="0"/>
    <n v="0"/>
    <n v="0"/>
    <m/>
    <n v="57"/>
    <s v="Unique"/>
    <s v="Valid"/>
    <s v="Valid"/>
    <s v="Valid"/>
    <s v="Valid"/>
    <s v="Valid"/>
    <s v="Outlier"/>
  </r>
  <r>
    <s v="USR-101027"/>
    <d v="2025-05-16T00:00:00"/>
    <x v="1"/>
    <x v="3"/>
    <x v="1"/>
    <x v="0"/>
    <x v="2"/>
    <n v="0"/>
    <n v="0"/>
    <n v="0"/>
    <n v="0"/>
    <n v="0"/>
    <n v="0"/>
    <n v="0"/>
    <m/>
    <n v="46.3"/>
    <s v="Unique"/>
    <s v="Valid"/>
    <s v="Valid"/>
    <s v="Valid"/>
    <s v="Valid"/>
    <s v="Valid"/>
    <s v="Outlier"/>
  </r>
  <r>
    <s v="USR-101028"/>
    <d v="2025-04-20T00:00:00"/>
    <x v="1"/>
    <x v="1"/>
    <x v="1"/>
    <x v="4"/>
    <x v="1"/>
    <n v="0"/>
    <n v="0"/>
    <n v="0"/>
    <n v="0"/>
    <n v="0"/>
    <n v="1"/>
    <n v="0"/>
    <m/>
    <n v="64.400000000000006"/>
    <s v="Unique"/>
    <s v="Valid"/>
    <s v="Valid"/>
    <s v="Valid"/>
    <s v="Valid"/>
    <s v="Valid"/>
    <s v="Outlier"/>
  </r>
  <r>
    <s v="USR-101029"/>
    <d v="2025-04-15T00:00:00"/>
    <x v="1"/>
    <x v="1"/>
    <x v="1"/>
    <x v="2"/>
    <x v="1"/>
    <n v="1"/>
    <n v="0"/>
    <n v="0"/>
    <n v="0"/>
    <n v="0"/>
    <n v="2"/>
    <n v="0"/>
    <m/>
    <n v="61.9"/>
    <s v="Unique"/>
    <s v="Valid"/>
    <s v="Valid"/>
    <s v="Valid"/>
    <s v="Valid"/>
    <s v="Valid"/>
    <s v="Outlier"/>
  </r>
  <r>
    <s v="USR-101030"/>
    <d v="2025-01-24T00:00:00"/>
    <x v="1"/>
    <x v="0"/>
    <x v="1"/>
    <x v="1"/>
    <x v="2"/>
    <n v="1"/>
    <n v="1"/>
    <n v="1"/>
    <n v="0"/>
    <n v="0"/>
    <n v="0"/>
    <n v="0"/>
    <m/>
    <n v="93.7"/>
    <s v="Unique"/>
    <s v="Valid"/>
    <s v="Valid"/>
    <s v="Valid"/>
    <s v="Valid"/>
    <s v="Valid"/>
    <s v="Outlier"/>
  </r>
  <r>
    <s v="USR-101031"/>
    <d v="2025-04-11T00:00:00"/>
    <x v="1"/>
    <x v="3"/>
    <x v="1"/>
    <x v="3"/>
    <x v="0"/>
    <n v="0"/>
    <n v="0"/>
    <n v="0"/>
    <n v="0"/>
    <n v="0"/>
    <n v="0"/>
    <n v="0"/>
    <m/>
    <n v="61.6"/>
    <s v="Unique"/>
    <s v="Valid"/>
    <s v="Valid"/>
    <s v="Valid"/>
    <s v="Valid"/>
    <s v="Valid"/>
    <s v="Outlier"/>
  </r>
  <r>
    <s v="USR-101032"/>
    <d v="2025-05-19T00:00:00"/>
    <x v="1"/>
    <x v="0"/>
    <x v="1"/>
    <x v="2"/>
    <x v="1"/>
    <n v="1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1033"/>
    <d v="2025-01-14T00:00:00"/>
    <x v="1"/>
    <x v="0"/>
    <x v="1"/>
    <x v="1"/>
    <x v="0"/>
    <n v="0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1034"/>
    <d v="2025-02-28T00:00:00"/>
    <x v="1"/>
    <x v="2"/>
    <x v="0"/>
    <x v="1"/>
    <x v="0"/>
    <n v="0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1035"/>
    <d v="2025-05-18T00:00:00"/>
    <x v="1"/>
    <x v="2"/>
    <x v="2"/>
    <x v="2"/>
    <x v="0"/>
    <n v="1"/>
    <n v="0"/>
    <n v="0"/>
    <n v="0"/>
    <n v="0"/>
    <n v="0"/>
    <n v="0"/>
    <m/>
    <n v="73.900000000000006"/>
    <s v="Unique"/>
    <s v="Valid"/>
    <s v="Valid"/>
    <s v="Valid"/>
    <s v="Valid"/>
    <s v="Valid"/>
    <s v="Outlier"/>
  </r>
  <r>
    <s v="USR-101036"/>
    <d v="2025-01-04T00:00:00"/>
    <x v="1"/>
    <x v="0"/>
    <x v="1"/>
    <x v="4"/>
    <x v="1"/>
    <n v="0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1037"/>
    <d v="2025-01-16T00:00:00"/>
    <x v="1"/>
    <x v="1"/>
    <x v="1"/>
    <x v="4"/>
    <x v="2"/>
    <n v="1"/>
    <n v="0"/>
    <n v="0"/>
    <n v="0"/>
    <n v="0"/>
    <n v="0"/>
    <n v="0"/>
    <m/>
    <n v="82.8"/>
    <s v="Unique"/>
    <s v="Valid"/>
    <s v="Valid"/>
    <s v="Valid"/>
    <s v="Valid"/>
    <s v="Valid"/>
    <s v="Outlier"/>
  </r>
  <r>
    <s v="USR-101038"/>
    <d v="2025-03-14T00:00:00"/>
    <x v="1"/>
    <x v="1"/>
    <x v="1"/>
    <x v="4"/>
    <x v="2"/>
    <n v="1"/>
    <n v="0"/>
    <n v="0"/>
    <n v="0"/>
    <n v="0"/>
    <n v="3"/>
    <n v="0"/>
    <m/>
    <n v="70.2"/>
    <s v="Unique"/>
    <s v="Valid"/>
    <s v="Valid"/>
    <s v="Valid"/>
    <s v="Valid"/>
    <s v="Valid"/>
    <s v="Outlier"/>
  </r>
  <r>
    <s v="USR-101039"/>
    <d v="2025-01-23T00:00:00"/>
    <x v="1"/>
    <x v="2"/>
    <x v="1"/>
    <x v="2"/>
    <x v="0"/>
    <n v="1"/>
    <n v="0"/>
    <n v="0"/>
    <n v="0"/>
    <n v="0"/>
    <n v="1"/>
    <n v="0"/>
    <m/>
    <n v="69.400000000000006"/>
    <s v="Unique"/>
    <s v="Valid"/>
    <s v="Valid"/>
    <s v="Valid"/>
    <s v="Valid"/>
    <s v="Valid"/>
    <s v="Outlier"/>
  </r>
  <r>
    <s v="USR-101040"/>
    <d v="2025-02-03T00:00:00"/>
    <x v="1"/>
    <x v="0"/>
    <x v="0"/>
    <x v="1"/>
    <x v="0"/>
    <n v="1"/>
    <n v="0"/>
    <n v="0"/>
    <n v="0"/>
    <n v="0"/>
    <n v="0"/>
    <n v="0"/>
    <m/>
    <n v="60.4"/>
    <s v="Unique"/>
    <s v="Valid"/>
    <s v="Valid"/>
    <s v="Valid"/>
    <s v="Valid"/>
    <s v="Valid"/>
    <s v="Outlier"/>
  </r>
  <r>
    <s v="USR-101041"/>
    <d v="2025-05-16T00:00:00"/>
    <x v="1"/>
    <x v="2"/>
    <x v="1"/>
    <x v="3"/>
    <x v="1"/>
    <n v="1"/>
    <n v="0"/>
    <n v="0"/>
    <n v="0"/>
    <n v="0"/>
    <n v="0"/>
    <n v="0"/>
    <m/>
    <n v="45.7"/>
    <s v="Unique"/>
    <s v="Valid"/>
    <s v="Valid"/>
    <s v="Valid"/>
    <s v="Valid"/>
    <s v="Valid"/>
    <s v="Outlier"/>
  </r>
  <r>
    <s v="USR-101042"/>
    <d v="2025-01-11T00:00:00"/>
    <x v="1"/>
    <x v="1"/>
    <x v="1"/>
    <x v="1"/>
    <x v="0"/>
    <n v="0"/>
    <n v="0"/>
    <n v="0"/>
    <n v="0"/>
    <n v="0"/>
    <n v="1"/>
    <n v="0"/>
    <m/>
    <n v="42.2"/>
    <s v="Unique"/>
    <s v="Valid"/>
    <s v="Valid"/>
    <s v="Valid"/>
    <s v="Valid"/>
    <s v="Valid"/>
    <s v="Outlier"/>
  </r>
  <r>
    <s v="USR-101043"/>
    <d v="2025-05-25T00:00:00"/>
    <x v="1"/>
    <x v="0"/>
    <x v="0"/>
    <x v="1"/>
    <x v="1"/>
    <n v="0"/>
    <n v="0"/>
    <n v="0"/>
    <n v="0"/>
    <n v="0"/>
    <n v="2"/>
    <n v="0"/>
    <m/>
    <n v="61.9"/>
    <s v="Unique"/>
    <s v="Valid"/>
    <s v="Valid"/>
    <s v="Valid"/>
    <s v="Valid"/>
    <s v="Valid"/>
    <s v="Outlier"/>
  </r>
  <r>
    <s v="USR-101044"/>
    <d v="2025-05-08T00:00:00"/>
    <x v="1"/>
    <x v="2"/>
    <x v="1"/>
    <x v="2"/>
    <x v="2"/>
    <n v="0"/>
    <n v="0"/>
    <n v="0"/>
    <n v="0"/>
    <n v="0"/>
    <n v="0"/>
    <n v="0"/>
    <m/>
    <n v="44.9"/>
    <s v="Unique"/>
    <s v="Valid"/>
    <s v="Valid"/>
    <s v="Valid"/>
    <s v="Valid"/>
    <s v="Valid"/>
    <s v="Outlier"/>
  </r>
  <r>
    <s v="USR-101045"/>
    <d v="2025-02-26T00:00:00"/>
    <x v="1"/>
    <x v="2"/>
    <x v="0"/>
    <x v="5"/>
    <x v="0"/>
    <n v="1"/>
    <n v="0"/>
    <n v="0"/>
    <n v="0"/>
    <n v="0"/>
    <n v="0"/>
    <n v="0"/>
    <m/>
    <n v="68"/>
    <s v="Unique"/>
    <s v="Valid"/>
    <s v="Valid"/>
    <s v="Valid"/>
    <s v="Valid"/>
    <s v="Valid"/>
    <s v="Outlier"/>
  </r>
  <r>
    <s v="USR-101046"/>
    <d v="2025-03-30T00:00:00"/>
    <x v="1"/>
    <x v="0"/>
    <x v="1"/>
    <x v="2"/>
    <x v="1"/>
    <n v="1"/>
    <n v="0"/>
    <n v="0"/>
    <n v="0"/>
    <n v="0"/>
    <n v="0"/>
    <n v="0"/>
    <m/>
    <n v="61"/>
    <s v="Unique"/>
    <s v="Valid"/>
    <s v="Valid"/>
    <s v="Valid"/>
    <s v="Valid"/>
    <s v="Valid"/>
    <s v="Outlier"/>
  </r>
  <r>
    <s v="USR-101047"/>
    <d v="2025-04-13T00:00:00"/>
    <x v="1"/>
    <x v="1"/>
    <x v="1"/>
    <x v="1"/>
    <x v="0"/>
    <n v="1"/>
    <n v="0"/>
    <n v="0"/>
    <n v="0"/>
    <n v="0"/>
    <n v="0"/>
    <n v="0"/>
    <m/>
    <n v="55"/>
    <s v="Unique"/>
    <s v="Valid"/>
    <s v="Valid"/>
    <s v="Valid"/>
    <s v="Valid"/>
    <s v="Valid"/>
    <s v="Outlier"/>
  </r>
  <r>
    <s v="USR-101048"/>
    <d v="2025-02-20T00:00:00"/>
    <x v="1"/>
    <x v="2"/>
    <x v="3"/>
    <x v="2"/>
    <x v="0"/>
    <n v="1"/>
    <n v="0"/>
    <n v="0"/>
    <n v="0"/>
    <n v="0"/>
    <n v="0"/>
    <n v="0"/>
    <m/>
    <n v="63.1"/>
    <s v="Unique"/>
    <s v="Valid"/>
    <s v="Valid"/>
    <s v="Valid"/>
    <s v="Valid"/>
    <s v="Valid"/>
    <s v="Outlier"/>
  </r>
  <r>
    <s v="USR-101049"/>
    <d v="2025-04-19T00:00:00"/>
    <x v="1"/>
    <x v="1"/>
    <x v="0"/>
    <x v="4"/>
    <x v="1"/>
    <n v="1"/>
    <n v="0"/>
    <n v="0"/>
    <n v="0"/>
    <n v="0"/>
    <n v="0"/>
    <n v="0"/>
    <m/>
    <n v="75.8"/>
    <s v="Unique"/>
    <s v="Valid"/>
    <s v="Valid"/>
    <s v="Valid"/>
    <s v="Valid"/>
    <s v="Valid"/>
    <s v="Outlier"/>
  </r>
  <r>
    <s v="USR-101050"/>
    <d v="2025-03-22T00:00:00"/>
    <x v="1"/>
    <x v="3"/>
    <x v="1"/>
    <x v="2"/>
    <x v="1"/>
    <n v="1"/>
    <n v="1"/>
    <n v="0"/>
    <n v="0"/>
    <n v="0"/>
    <n v="1"/>
    <n v="0"/>
    <m/>
    <n v="43.8"/>
    <s v="Unique"/>
    <s v="Valid"/>
    <s v="Valid"/>
    <s v="Valid"/>
    <s v="Valid"/>
    <s v="Valid"/>
    <s v="Outlier"/>
  </r>
  <r>
    <s v="USR-101051"/>
    <d v="2025-02-28T00:00:00"/>
    <x v="1"/>
    <x v="0"/>
    <x v="1"/>
    <x v="0"/>
    <x v="0"/>
    <n v="1"/>
    <n v="1"/>
    <n v="0"/>
    <n v="0"/>
    <n v="0"/>
    <n v="0"/>
    <n v="0"/>
    <m/>
    <n v="46.8"/>
    <s v="Unique"/>
    <s v="Valid"/>
    <s v="Valid"/>
    <s v="Valid"/>
    <s v="Valid"/>
    <s v="Valid"/>
    <s v="Outlier"/>
  </r>
  <r>
    <s v="USR-101052"/>
    <d v="2025-05-24T00:00:00"/>
    <x v="1"/>
    <x v="2"/>
    <x v="1"/>
    <x v="4"/>
    <x v="1"/>
    <n v="1"/>
    <n v="1"/>
    <n v="1"/>
    <n v="0"/>
    <n v="0"/>
    <n v="0"/>
    <n v="0"/>
    <m/>
    <n v="97.4"/>
    <s v="Unique"/>
    <s v="Valid"/>
    <s v="Valid"/>
    <s v="Valid"/>
    <s v="Valid"/>
    <s v="Valid"/>
    <s v="Outlier"/>
  </r>
  <r>
    <s v="USR-101053"/>
    <d v="2025-02-03T00:00:00"/>
    <x v="1"/>
    <x v="0"/>
    <x v="0"/>
    <x v="0"/>
    <x v="1"/>
    <n v="1"/>
    <n v="1"/>
    <n v="1"/>
    <n v="1"/>
    <n v="268.95999999999998"/>
    <n v="0"/>
    <n v="0"/>
    <n v="14"/>
    <n v="81"/>
    <s v="Unique"/>
    <s v="Valid"/>
    <s v="Valid"/>
    <s v="Valid"/>
    <s v="Valid"/>
    <s v="Valid"/>
    <s v="Outlier"/>
  </r>
  <r>
    <s v="USR-101054"/>
    <d v="2025-01-27T00:00:00"/>
    <x v="1"/>
    <x v="3"/>
    <x v="1"/>
    <x v="1"/>
    <x v="1"/>
    <n v="1"/>
    <n v="0"/>
    <n v="0"/>
    <n v="0"/>
    <n v="0"/>
    <n v="1"/>
    <n v="0"/>
    <m/>
    <n v="58.9"/>
    <s v="Unique"/>
    <s v="Valid"/>
    <s v="Valid"/>
    <s v="Valid"/>
    <s v="Valid"/>
    <s v="Valid"/>
    <s v="Outlier"/>
  </r>
  <r>
    <s v="USR-101055"/>
    <d v="2025-04-17T00:00:00"/>
    <x v="1"/>
    <x v="2"/>
    <x v="1"/>
    <x v="1"/>
    <x v="1"/>
    <n v="1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1056"/>
    <d v="2025-02-06T00:00:00"/>
    <x v="1"/>
    <x v="1"/>
    <x v="1"/>
    <x v="4"/>
    <x v="1"/>
    <n v="1"/>
    <n v="1"/>
    <n v="0"/>
    <n v="0"/>
    <n v="0"/>
    <n v="0"/>
    <n v="0"/>
    <m/>
    <n v="61.7"/>
    <s v="Unique"/>
    <s v="Valid"/>
    <s v="Valid"/>
    <s v="Valid"/>
    <s v="Valid"/>
    <s v="Valid"/>
    <s v="Outlier"/>
  </r>
  <r>
    <s v="USR-101057"/>
    <d v="2025-04-20T00:00:00"/>
    <x v="1"/>
    <x v="3"/>
    <x v="1"/>
    <x v="2"/>
    <x v="1"/>
    <n v="1"/>
    <n v="0"/>
    <n v="0"/>
    <n v="0"/>
    <n v="0"/>
    <n v="0"/>
    <n v="0"/>
    <m/>
    <n v="44.7"/>
    <s v="Unique"/>
    <s v="Valid"/>
    <s v="Valid"/>
    <s v="Valid"/>
    <s v="Valid"/>
    <s v="Valid"/>
    <s v="Outlier"/>
  </r>
  <r>
    <s v="USR-101058"/>
    <d v="2025-05-06T00:00:00"/>
    <x v="1"/>
    <x v="0"/>
    <x v="1"/>
    <x v="2"/>
    <x v="0"/>
    <n v="0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s v="Unique"/>
    <s v="Valid"/>
    <s v="Valid"/>
    <s v="Valid"/>
    <s v="Valid"/>
    <s v="Valid"/>
    <s v="Outlier"/>
  </r>
  <r>
    <s v="USR-101060"/>
    <d v="2025-03-02T00:00:00"/>
    <x v="1"/>
    <x v="3"/>
    <x v="1"/>
    <x v="2"/>
    <x v="2"/>
    <n v="1"/>
    <n v="1"/>
    <n v="0"/>
    <n v="0"/>
    <n v="0"/>
    <n v="1"/>
    <n v="0"/>
    <m/>
    <n v="83.1"/>
    <s v="Unique"/>
    <s v="Valid"/>
    <s v="Valid"/>
    <s v="Valid"/>
    <s v="Valid"/>
    <s v="Valid"/>
    <s v="Outlier"/>
  </r>
  <r>
    <s v="USR-101061"/>
    <d v="2025-04-09T00:00:00"/>
    <x v="1"/>
    <x v="1"/>
    <x v="1"/>
    <x v="4"/>
    <x v="1"/>
    <n v="0"/>
    <n v="0"/>
    <n v="0"/>
    <n v="0"/>
    <n v="0"/>
    <n v="0"/>
    <n v="0"/>
    <m/>
    <n v="50.3"/>
    <s v="Unique"/>
    <s v="Valid"/>
    <s v="Valid"/>
    <s v="Valid"/>
    <s v="Valid"/>
    <s v="Valid"/>
    <s v="Outlier"/>
  </r>
  <r>
    <s v="USR-101062"/>
    <d v="2025-01-26T00:00:00"/>
    <x v="1"/>
    <x v="2"/>
    <x v="1"/>
    <x v="2"/>
    <x v="1"/>
    <n v="1"/>
    <n v="1"/>
    <n v="1"/>
    <n v="1"/>
    <n v="437.09"/>
    <n v="2"/>
    <n v="1"/>
    <n v="1"/>
    <n v="58.2"/>
    <s v="Unique"/>
    <s v="Valid"/>
    <s v="Valid"/>
    <s v="Valid"/>
    <s v="Valid"/>
    <s v="Valid"/>
    <s v="Outlier"/>
  </r>
  <r>
    <s v="USR-101063"/>
    <d v="2025-02-25T00:00:00"/>
    <x v="1"/>
    <x v="3"/>
    <x v="1"/>
    <x v="2"/>
    <x v="0"/>
    <n v="1"/>
    <n v="1"/>
    <n v="1"/>
    <n v="0"/>
    <n v="0"/>
    <n v="0"/>
    <n v="0"/>
    <m/>
    <n v="53.2"/>
    <s v="Unique"/>
    <s v="Valid"/>
    <s v="Valid"/>
    <s v="Valid"/>
    <s v="Valid"/>
    <s v="Valid"/>
    <s v="Outlier"/>
  </r>
  <r>
    <s v="USR-101064"/>
    <d v="2025-01-07T00:00:00"/>
    <x v="1"/>
    <x v="2"/>
    <x v="1"/>
    <x v="1"/>
    <x v="2"/>
    <n v="0"/>
    <n v="0"/>
    <n v="0"/>
    <n v="0"/>
    <n v="0"/>
    <n v="0"/>
    <n v="0"/>
    <m/>
    <n v="36.4"/>
    <s v="Unique"/>
    <s v="Valid"/>
    <s v="Valid"/>
    <s v="Valid"/>
    <s v="Valid"/>
    <s v="Valid"/>
    <s v="Outlier"/>
  </r>
  <r>
    <s v="USR-101065"/>
    <d v="2025-03-08T00:00:00"/>
    <x v="1"/>
    <x v="3"/>
    <x v="1"/>
    <x v="4"/>
    <x v="0"/>
    <n v="1"/>
    <n v="1"/>
    <n v="1"/>
    <n v="0"/>
    <n v="0"/>
    <n v="0"/>
    <n v="0"/>
    <m/>
    <n v="72.7"/>
    <s v="Unique"/>
    <s v="Valid"/>
    <s v="Valid"/>
    <s v="Valid"/>
    <s v="Valid"/>
    <s v="Valid"/>
    <s v="Outlier"/>
  </r>
  <r>
    <s v="USR-101066"/>
    <d v="2025-05-22T00:00:00"/>
    <x v="1"/>
    <x v="2"/>
    <x v="1"/>
    <x v="3"/>
    <x v="1"/>
    <n v="1"/>
    <n v="0"/>
    <n v="0"/>
    <n v="0"/>
    <n v="0"/>
    <n v="1"/>
    <n v="0"/>
    <m/>
    <n v="86.7"/>
    <s v="Unique"/>
    <s v="Valid"/>
    <s v="Valid"/>
    <s v="Valid"/>
    <s v="Valid"/>
    <s v="Valid"/>
    <s v="Outlier"/>
  </r>
  <r>
    <s v="USR-101067"/>
    <d v="2025-04-18T00:00:00"/>
    <x v="1"/>
    <x v="2"/>
    <x v="1"/>
    <x v="2"/>
    <x v="2"/>
    <n v="1"/>
    <n v="0"/>
    <n v="0"/>
    <n v="0"/>
    <n v="0"/>
    <n v="0"/>
    <n v="0"/>
    <m/>
    <n v="48.2"/>
    <s v="Unique"/>
    <s v="Valid"/>
    <s v="Valid"/>
    <s v="Valid"/>
    <s v="Valid"/>
    <s v="Valid"/>
    <s v="Outlier"/>
  </r>
  <r>
    <s v="USR-101068"/>
    <d v="2025-02-24T00:00:00"/>
    <x v="1"/>
    <x v="1"/>
    <x v="1"/>
    <x v="3"/>
    <x v="0"/>
    <n v="0"/>
    <n v="0"/>
    <n v="0"/>
    <n v="0"/>
    <n v="0"/>
    <n v="1"/>
    <n v="0"/>
    <m/>
    <n v="57.6"/>
    <s v="Unique"/>
    <s v="Valid"/>
    <s v="Valid"/>
    <s v="Valid"/>
    <s v="Valid"/>
    <s v="Valid"/>
    <s v="Outlier"/>
  </r>
  <r>
    <s v="USR-101069"/>
    <d v="2025-02-11T00:00:00"/>
    <x v="1"/>
    <x v="0"/>
    <x v="1"/>
    <x v="1"/>
    <x v="1"/>
    <n v="1"/>
    <n v="1"/>
    <n v="1"/>
    <n v="0"/>
    <n v="0"/>
    <n v="0"/>
    <n v="0"/>
    <m/>
    <n v="75.7"/>
    <s v="Unique"/>
    <s v="Valid"/>
    <s v="Valid"/>
    <s v="Valid"/>
    <s v="Valid"/>
    <s v="Valid"/>
    <s v="Outlier"/>
  </r>
  <r>
    <s v="USR-101070"/>
    <d v="2025-03-11T00:00:00"/>
    <x v="1"/>
    <x v="1"/>
    <x v="0"/>
    <x v="2"/>
    <x v="1"/>
    <n v="1"/>
    <n v="0"/>
    <n v="0"/>
    <n v="0"/>
    <n v="0"/>
    <n v="2"/>
    <n v="0"/>
    <m/>
    <n v="48.6"/>
    <s v="Unique"/>
    <s v="Valid"/>
    <s v="Valid"/>
    <s v="Valid"/>
    <s v="Valid"/>
    <s v="Valid"/>
    <s v="Outlier"/>
  </r>
  <r>
    <s v="USR-101071"/>
    <d v="2025-04-11T00:00:00"/>
    <x v="1"/>
    <x v="2"/>
    <x v="2"/>
    <x v="3"/>
    <x v="1"/>
    <n v="1"/>
    <n v="1"/>
    <n v="1"/>
    <n v="0"/>
    <n v="0"/>
    <n v="0"/>
    <n v="0"/>
    <m/>
    <n v="72"/>
    <s v="Unique"/>
    <s v="Valid"/>
    <s v="Valid"/>
    <s v="Valid"/>
    <s v="Valid"/>
    <s v="Valid"/>
    <s v="Outlier"/>
  </r>
  <r>
    <s v="USR-101072"/>
    <d v="2025-03-11T00:00:00"/>
    <x v="1"/>
    <x v="0"/>
    <x v="1"/>
    <x v="1"/>
    <x v="1"/>
    <n v="0"/>
    <n v="0"/>
    <n v="0"/>
    <n v="0"/>
    <n v="0"/>
    <n v="0"/>
    <n v="0"/>
    <m/>
    <n v="72.2"/>
    <s v="Unique"/>
    <s v="Valid"/>
    <s v="Valid"/>
    <s v="Valid"/>
    <s v="Valid"/>
    <s v="Valid"/>
    <s v="Outlier"/>
  </r>
  <r>
    <s v="USR-101073"/>
    <d v="2025-05-22T00:00:00"/>
    <x v="1"/>
    <x v="2"/>
    <x v="1"/>
    <x v="3"/>
    <x v="1"/>
    <n v="1"/>
    <n v="0"/>
    <n v="0"/>
    <n v="0"/>
    <n v="0"/>
    <n v="1"/>
    <n v="0"/>
    <m/>
    <m/>
    <s v="Unique"/>
    <s v="Valid"/>
    <s v="Valid"/>
    <s v="Valid"/>
    <s v="Valid"/>
    <s v="Valid"/>
    <s v="Outlier"/>
  </r>
  <r>
    <s v="USR-101074"/>
    <d v="2025-02-22T00:00:00"/>
    <x v="1"/>
    <x v="3"/>
    <x v="0"/>
    <x v="1"/>
    <x v="1"/>
    <n v="1"/>
    <n v="1"/>
    <n v="1"/>
    <n v="1"/>
    <n v="331.53"/>
    <n v="2"/>
    <n v="0"/>
    <n v="4"/>
    <n v="56.8"/>
    <s v="Unique"/>
    <s v="Valid"/>
    <s v="Valid"/>
    <s v="Valid"/>
    <s v="Valid"/>
    <s v="Valid"/>
    <s v="Outlier"/>
  </r>
  <r>
    <s v="USR-101075"/>
    <d v="2025-01-13T00:00:00"/>
    <x v="1"/>
    <x v="2"/>
    <x v="1"/>
    <x v="2"/>
    <x v="0"/>
    <n v="1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1076"/>
    <d v="2025-05-19T00:00:00"/>
    <x v="1"/>
    <x v="3"/>
    <x v="1"/>
    <x v="1"/>
    <x v="1"/>
    <n v="1"/>
    <n v="0"/>
    <n v="0"/>
    <n v="0"/>
    <n v="0"/>
    <n v="0"/>
    <n v="0"/>
    <m/>
    <n v="63.4"/>
    <s v="Unique"/>
    <s v="Valid"/>
    <s v="Valid"/>
    <s v="Valid"/>
    <s v="Valid"/>
    <s v="Valid"/>
    <s v="Outlier"/>
  </r>
  <r>
    <s v="USR-101077"/>
    <d v="2025-03-08T00:00:00"/>
    <x v="1"/>
    <x v="0"/>
    <x v="2"/>
    <x v="1"/>
    <x v="0"/>
    <n v="1"/>
    <n v="1"/>
    <n v="1"/>
    <n v="1"/>
    <n v="774.78"/>
    <n v="0"/>
    <n v="0"/>
    <n v="3"/>
    <n v="46.8"/>
    <s v="Unique"/>
    <s v="Valid"/>
    <s v="Valid"/>
    <s v="Valid"/>
    <s v="Valid"/>
    <s v="Valid"/>
    <s v="Outlier"/>
  </r>
  <r>
    <s v="USR-101078"/>
    <d v="2025-04-20T00:00:00"/>
    <x v="1"/>
    <x v="3"/>
    <x v="1"/>
    <x v="1"/>
    <x v="1"/>
    <n v="1"/>
    <n v="1"/>
    <n v="1"/>
    <n v="1"/>
    <n v="422.02"/>
    <n v="0"/>
    <n v="0"/>
    <n v="8"/>
    <n v="86.5"/>
    <s v="Unique"/>
    <s v="Valid"/>
    <s v="Valid"/>
    <s v="Valid"/>
    <s v="Valid"/>
    <s v="Valid"/>
    <s v="Outlier"/>
  </r>
  <r>
    <s v="USR-101079"/>
    <d v="2025-05-08T00:00:00"/>
    <x v="1"/>
    <x v="1"/>
    <x v="1"/>
    <x v="0"/>
    <x v="0"/>
    <n v="0"/>
    <n v="0"/>
    <n v="0"/>
    <n v="0"/>
    <n v="0"/>
    <n v="1"/>
    <n v="0"/>
    <m/>
    <n v="75.099999999999994"/>
    <s v="Unique"/>
    <s v="Valid"/>
    <s v="Valid"/>
    <s v="Valid"/>
    <s v="Valid"/>
    <s v="Valid"/>
    <s v="Outlier"/>
  </r>
  <r>
    <s v="USR-101080"/>
    <d v="2025-05-10T00:00:00"/>
    <x v="1"/>
    <x v="3"/>
    <x v="1"/>
    <x v="1"/>
    <x v="0"/>
    <n v="1"/>
    <n v="0"/>
    <n v="0"/>
    <n v="0"/>
    <n v="0"/>
    <n v="0"/>
    <n v="0"/>
    <m/>
    <n v="64.5"/>
    <s v="Unique"/>
    <s v="Valid"/>
    <s v="Valid"/>
    <s v="Valid"/>
    <s v="Valid"/>
    <s v="Valid"/>
    <s v="Outlier"/>
  </r>
  <r>
    <s v="USR-101081"/>
    <d v="2025-03-28T00:00:00"/>
    <x v="1"/>
    <x v="2"/>
    <x v="1"/>
    <x v="1"/>
    <x v="1"/>
    <n v="1"/>
    <n v="0"/>
    <n v="0"/>
    <n v="0"/>
    <n v="0"/>
    <n v="0"/>
    <n v="0"/>
    <m/>
    <n v="54.2"/>
    <s v="Unique"/>
    <s v="Valid"/>
    <s v="Valid"/>
    <s v="Valid"/>
    <s v="Valid"/>
    <s v="Valid"/>
    <s v="Outlier"/>
  </r>
  <r>
    <s v="USR-101082"/>
    <d v="2025-04-30T00:00:00"/>
    <x v="1"/>
    <x v="2"/>
    <x v="1"/>
    <x v="2"/>
    <x v="2"/>
    <n v="1"/>
    <n v="1"/>
    <n v="1"/>
    <n v="0"/>
    <n v="0"/>
    <n v="0"/>
    <n v="0"/>
    <m/>
    <n v="84.1"/>
    <s v="Unique"/>
    <s v="Valid"/>
    <s v="Valid"/>
    <s v="Valid"/>
    <s v="Valid"/>
    <s v="Valid"/>
    <s v="Outlier"/>
  </r>
  <r>
    <s v="USR-101083"/>
    <d v="2025-02-08T00:00:00"/>
    <x v="1"/>
    <x v="0"/>
    <x v="1"/>
    <x v="1"/>
    <x v="0"/>
    <n v="0"/>
    <n v="0"/>
    <n v="0"/>
    <n v="0"/>
    <n v="0"/>
    <n v="1"/>
    <n v="0"/>
    <m/>
    <n v="49.1"/>
    <s v="Unique"/>
    <s v="Valid"/>
    <s v="Valid"/>
    <s v="Valid"/>
    <s v="Valid"/>
    <s v="Valid"/>
    <s v="Outlier"/>
  </r>
  <r>
    <s v="USR-101084"/>
    <d v="2025-03-07T00:00:00"/>
    <x v="1"/>
    <x v="3"/>
    <x v="1"/>
    <x v="3"/>
    <x v="2"/>
    <n v="0"/>
    <n v="0"/>
    <n v="0"/>
    <n v="0"/>
    <n v="0"/>
    <n v="0"/>
    <n v="0"/>
    <m/>
    <n v="92.7"/>
    <s v="Unique"/>
    <s v="Valid"/>
    <s v="Valid"/>
    <s v="Valid"/>
    <s v="Valid"/>
    <s v="Valid"/>
    <s v="Outlier"/>
  </r>
  <r>
    <s v="USR-101085"/>
    <d v="2025-05-21T00:00:00"/>
    <x v="1"/>
    <x v="3"/>
    <x v="1"/>
    <x v="4"/>
    <x v="0"/>
    <n v="1"/>
    <n v="1"/>
    <n v="1"/>
    <n v="0"/>
    <n v="0"/>
    <n v="1"/>
    <n v="0"/>
    <m/>
    <n v="58.7"/>
    <s v="Unique"/>
    <s v="Valid"/>
    <s v="Valid"/>
    <s v="Valid"/>
    <s v="Valid"/>
    <s v="Valid"/>
    <s v="Outlier"/>
  </r>
  <r>
    <s v="USR-101086"/>
    <d v="2025-04-12T00:00:00"/>
    <x v="1"/>
    <x v="3"/>
    <x v="1"/>
    <x v="4"/>
    <x v="1"/>
    <n v="1"/>
    <n v="1"/>
    <n v="1"/>
    <n v="0"/>
    <n v="0"/>
    <n v="0"/>
    <n v="0"/>
    <m/>
    <n v="59.3"/>
    <s v="Unique"/>
    <s v="Valid"/>
    <s v="Valid"/>
    <s v="Valid"/>
    <s v="Valid"/>
    <s v="Valid"/>
    <s v="Outlier"/>
  </r>
  <r>
    <s v="USR-101087"/>
    <d v="2025-02-02T00:00:00"/>
    <x v="1"/>
    <x v="3"/>
    <x v="1"/>
    <x v="2"/>
    <x v="1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1088"/>
    <d v="2025-04-22T00:00:00"/>
    <x v="1"/>
    <x v="0"/>
    <x v="2"/>
    <x v="3"/>
    <x v="1"/>
    <n v="1"/>
    <n v="1"/>
    <n v="1"/>
    <n v="0"/>
    <n v="0"/>
    <n v="1"/>
    <n v="0"/>
    <m/>
    <n v="60.3"/>
    <s v="Unique"/>
    <s v="Valid"/>
    <s v="Valid"/>
    <s v="Valid"/>
    <s v="Valid"/>
    <s v="Valid"/>
    <s v="Outlier"/>
  </r>
  <r>
    <s v="USR-101089"/>
    <d v="2025-02-08T00:00:00"/>
    <x v="1"/>
    <x v="0"/>
    <x v="1"/>
    <x v="4"/>
    <x v="0"/>
    <n v="1"/>
    <n v="0"/>
    <n v="0"/>
    <n v="0"/>
    <n v="0"/>
    <n v="0"/>
    <n v="0"/>
    <m/>
    <n v="70.5"/>
    <s v="Unique"/>
    <s v="Valid"/>
    <s v="Valid"/>
    <s v="Valid"/>
    <s v="Valid"/>
    <s v="Valid"/>
    <s v="Outlier"/>
  </r>
  <r>
    <s v="USR-101090"/>
    <d v="2025-01-24T00:00:00"/>
    <x v="1"/>
    <x v="3"/>
    <x v="0"/>
    <x v="0"/>
    <x v="1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1091"/>
    <d v="2025-05-12T00:00:00"/>
    <x v="1"/>
    <x v="3"/>
    <x v="1"/>
    <x v="2"/>
    <x v="0"/>
    <n v="0"/>
    <n v="0"/>
    <n v="0"/>
    <n v="0"/>
    <n v="0"/>
    <n v="1"/>
    <n v="0"/>
    <m/>
    <n v="73.2"/>
    <s v="Unique"/>
    <s v="Valid"/>
    <s v="Valid"/>
    <s v="Valid"/>
    <s v="Valid"/>
    <s v="Valid"/>
    <s v="Outlier"/>
  </r>
  <r>
    <s v="USR-101092"/>
    <d v="2025-03-30T00:00:00"/>
    <x v="1"/>
    <x v="0"/>
    <x v="1"/>
    <x v="1"/>
    <x v="0"/>
    <n v="0"/>
    <n v="0"/>
    <n v="0"/>
    <n v="0"/>
    <n v="0"/>
    <n v="0"/>
    <n v="0"/>
    <m/>
    <n v="70.099999999999994"/>
    <s v="Unique"/>
    <s v="Valid"/>
    <s v="Valid"/>
    <s v="Valid"/>
    <s v="Valid"/>
    <s v="Valid"/>
    <s v="Outlier"/>
  </r>
  <r>
    <s v="USR-101093"/>
    <d v="2025-01-02T00:00:00"/>
    <x v="1"/>
    <x v="3"/>
    <x v="0"/>
    <x v="2"/>
    <x v="0"/>
    <n v="1"/>
    <n v="0"/>
    <n v="0"/>
    <n v="0"/>
    <n v="0"/>
    <n v="0"/>
    <n v="0"/>
    <m/>
    <n v="76.400000000000006"/>
    <s v="Unique"/>
    <s v="Valid"/>
    <s v="Valid"/>
    <s v="Valid"/>
    <s v="Valid"/>
    <s v="Valid"/>
    <s v="Outlier"/>
  </r>
  <r>
    <s v="USR-101094"/>
    <d v="2025-03-21T00:00:00"/>
    <x v="1"/>
    <x v="3"/>
    <x v="2"/>
    <x v="0"/>
    <x v="0"/>
    <n v="0"/>
    <n v="0"/>
    <n v="0"/>
    <n v="0"/>
    <n v="0"/>
    <n v="0"/>
    <n v="0"/>
    <m/>
    <n v="46.4"/>
    <s v="Unique"/>
    <s v="Valid"/>
    <s v="Valid"/>
    <s v="Valid"/>
    <s v="Valid"/>
    <s v="Valid"/>
    <s v="Outlier"/>
  </r>
  <r>
    <s v="USR-101095"/>
    <d v="2025-01-25T00:00:00"/>
    <x v="1"/>
    <x v="1"/>
    <x v="1"/>
    <x v="1"/>
    <x v="1"/>
    <n v="1"/>
    <n v="1"/>
    <n v="1"/>
    <n v="0"/>
    <n v="0"/>
    <n v="1"/>
    <n v="0"/>
    <m/>
    <n v="81.3"/>
    <s v="Unique"/>
    <s v="Valid"/>
    <s v="Valid"/>
    <s v="Valid"/>
    <s v="Valid"/>
    <s v="Valid"/>
    <s v="Outlier"/>
  </r>
  <r>
    <s v="USR-101096"/>
    <d v="2025-01-12T00:00:00"/>
    <x v="1"/>
    <x v="3"/>
    <x v="2"/>
    <x v="4"/>
    <x v="1"/>
    <n v="1"/>
    <n v="1"/>
    <n v="1"/>
    <n v="0"/>
    <n v="0"/>
    <n v="0"/>
    <n v="0"/>
    <m/>
    <n v="55.3"/>
    <s v="Unique"/>
    <s v="Valid"/>
    <s v="Valid"/>
    <s v="Valid"/>
    <s v="Valid"/>
    <s v="Valid"/>
    <s v="Outlier"/>
  </r>
  <r>
    <s v="USR-101097"/>
    <d v="2025-03-18T00:00:00"/>
    <x v="1"/>
    <x v="2"/>
    <x v="0"/>
    <x v="3"/>
    <x v="1"/>
    <n v="1"/>
    <n v="0"/>
    <n v="0"/>
    <n v="0"/>
    <n v="0"/>
    <n v="0"/>
    <n v="0"/>
    <m/>
    <n v="44.7"/>
    <s v="Unique"/>
    <s v="Valid"/>
    <s v="Valid"/>
    <s v="Valid"/>
    <s v="Valid"/>
    <s v="Valid"/>
    <s v="Outlier"/>
  </r>
  <r>
    <s v="USR-101098"/>
    <d v="2025-03-26T00:00:00"/>
    <x v="1"/>
    <x v="2"/>
    <x v="1"/>
    <x v="2"/>
    <x v="0"/>
    <n v="1"/>
    <n v="0"/>
    <n v="0"/>
    <n v="0"/>
    <n v="0"/>
    <n v="0"/>
    <n v="0"/>
    <m/>
    <n v="67.2"/>
    <s v="Unique"/>
    <s v="Valid"/>
    <s v="Valid"/>
    <s v="Valid"/>
    <s v="Valid"/>
    <s v="Valid"/>
    <s v="Outlier"/>
  </r>
  <r>
    <s v="USR-101099"/>
    <d v="2025-04-19T00:00:00"/>
    <x v="1"/>
    <x v="0"/>
    <x v="1"/>
    <x v="2"/>
    <x v="0"/>
    <n v="1"/>
    <n v="0"/>
    <n v="0"/>
    <n v="0"/>
    <n v="0"/>
    <n v="0"/>
    <n v="0"/>
    <m/>
    <m/>
    <s v="Unique"/>
    <s v="Valid"/>
    <s v="Valid"/>
    <s v="Valid"/>
    <s v="Valid"/>
    <s v="Valid"/>
    <s v="Outlier"/>
  </r>
  <r>
    <s v="USR-101100"/>
    <d v="2025-04-17T00:00:00"/>
    <x v="1"/>
    <x v="2"/>
    <x v="1"/>
    <x v="1"/>
    <x v="2"/>
    <n v="1"/>
    <n v="1"/>
    <n v="1"/>
    <n v="0"/>
    <n v="0"/>
    <n v="1"/>
    <n v="0"/>
    <m/>
    <n v="70.8"/>
    <s v="Unique"/>
    <s v="Valid"/>
    <s v="Valid"/>
    <s v="Valid"/>
    <s v="Valid"/>
    <s v="Valid"/>
    <s v="Outlier"/>
  </r>
  <r>
    <s v="USR-101101"/>
    <d v="2025-05-26T00:00:00"/>
    <x v="1"/>
    <x v="3"/>
    <x v="1"/>
    <x v="2"/>
    <x v="1"/>
    <n v="1"/>
    <n v="0"/>
    <n v="0"/>
    <n v="0"/>
    <n v="0"/>
    <n v="0"/>
    <n v="0"/>
    <m/>
    <n v="71.3"/>
    <s v="Unique"/>
    <s v="Valid"/>
    <s v="Valid"/>
    <s v="Valid"/>
    <s v="Valid"/>
    <s v="Valid"/>
    <s v="Outlier"/>
  </r>
  <r>
    <s v="USR-101102"/>
    <d v="2025-04-14T00:00:00"/>
    <x v="1"/>
    <x v="0"/>
    <x v="1"/>
    <x v="4"/>
    <x v="2"/>
    <n v="1"/>
    <n v="1"/>
    <n v="1"/>
    <n v="0"/>
    <n v="0"/>
    <n v="0"/>
    <n v="0"/>
    <m/>
    <n v="69.400000000000006"/>
    <s v="Unique"/>
    <s v="Valid"/>
    <s v="Valid"/>
    <s v="Valid"/>
    <s v="Valid"/>
    <s v="Valid"/>
    <s v="Outlier"/>
  </r>
  <r>
    <s v="USR-101103"/>
    <d v="2025-01-23T00:00:00"/>
    <x v="1"/>
    <x v="3"/>
    <x v="1"/>
    <x v="1"/>
    <x v="0"/>
    <n v="1"/>
    <n v="1"/>
    <n v="0"/>
    <n v="0"/>
    <n v="0"/>
    <n v="0"/>
    <n v="0"/>
    <m/>
    <n v="58.9"/>
    <s v="Unique"/>
    <s v="Valid"/>
    <s v="Valid"/>
    <s v="Valid"/>
    <s v="Valid"/>
    <s v="Valid"/>
    <s v="Outlier"/>
  </r>
  <r>
    <s v="USR-101104"/>
    <d v="2025-01-06T00:00:00"/>
    <x v="1"/>
    <x v="2"/>
    <x v="1"/>
    <x v="3"/>
    <x v="1"/>
    <n v="0"/>
    <n v="0"/>
    <n v="0"/>
    <n v="0"/>
    <n v="0"/>
    <n v="0"/>
    <n v="0"/>
    <m/>
    <n v="70.7"/>
    <s v="Unique"/>
    <s v="Valid"/>
    <s v="Valid"/>
    <s v="Valid"/>
    <s v="Valid"/>
    <s v="Valid"/>
    <s v="Outlier"/>
  </r>
  <r>
    <s v="USR-101105"/>
    <d v="2025-05-31T00:00:00"/>
    <x v="1"/>
    <x v="1"/>
    <x v="1"/>
    <x v="0"/>
    <x v="0"/>
    <n v="1"/>
    <n v="0"/>
    <n v="0"/>
    <n v="0"/>
    <n v="0"/>
    <n v="0"/>
    <n v="0"/>
    <m/>
    <n v="60.5"/>
    <s v="Unique"/>
    <s v="Valid"/>
    <s v="Valid"/>
    <s v="Valid"/>
    <s v="Valid"/>
    <s v="Valid"/>
    <s v="Outlier"/>
  </r>
  <r>
    <s v="USR-101106"/>
    <d v="2025-05-19T00:00:00"/>
    <x v="1"/>
    <x v="0"/>
    <x v="1"/>
    <x v="1"/>
    <x v="0"/>
    <n v="1"/>
    <n v="1"/>
    <n v="1"/>
    <n v="0"/>
    <n v="0"/>
    <n v="0"/>
    <n v="0"/>
    <m/>
    <n v="77.3"/>
    <s v="Unique"/>
    <s v="Valid"/>
    <s v="Valid"/>
    <s v="Valid"/>
    <s v="Valid"/>
    <s v="Valid"/>
    <s v="Outlier"/>
  </r>
  <r>
    <s v="USR-101107"/>
    <d v="2025-02-25T00:00:00"/>
    <x v="1"/>
    <x v="0"/>
    <x v="1"/>
    <x v="1"/>
    <x v="1"/>
    <n v="0"/>
    <n v="0"/>
    <n v="0"/>
    <n v="0"/>
    <n v="0"/>
    <n v="1"/>
    <n v="0"/>
    <m/>
    <n v="39.5"/>
    <s v="Unique"/>
    <s v="Valid"/>
    <s v="Valid"/>
    <s v="Valid"/>
    <s v="Valid"/>
    <s v="Valid"/>
    <s v="Outlier"/>
  </r>
  <r>
    <s v="USR-101108"/>
    <d v="2025-01-10T00:00:00"/>
    <x v="1"/>
    <x v="3"/>
    <x v="2"/>
    <x v="1"/>
    <x v="0"/>
    <n v="1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1109"/>
    <d v="2025-05-13T00:00:00"/>
    <x v="1"/>
    <x v="0"/>
    <x v="2"/>
    <x v="2"/>
    <x v="1"/>
    <n v="0"/>
    <n v="0"/>
    <n v="0"/>
    <n v="0"/>
    <n v="0"/>
    <n v="0"/>
    <n v="0"/>
    <m/>
    <n v="80.3"/>
    <s v="Unique"/>
    <s v="Valid"/>
    <s v="Valid"/>
    <s v="Valid"/>
    <s v="Valid"/>
    <s v="Valid"/>
    <s v="Outlier"/>
  </r>
  <r>
    <s v="USR-101110"/>
    <d v="2025-04-27T00:00:00"/>
    <x v="1"/>
    <x v="1"/>
    <x v="0"/>
    <x v="1"/>
    <x v="2"/>
    <n v="1"/>
    <n v="0"/>
    <n v="0"/>
    <n v="0"/>
    <n v="0"/>
    <n v="0"/>
    <n v="0"/>
    <m/>
    <n v="77.7"/>
    <s v="Unique"/>
    <s v="Valid"/>
    <s v="Valid"/>
    <s v="Valid"/>
    <s v="Valid"/>
    <s v="Valid"/>
    <s v="Outlier"/>
  </r>
  <r>
    <s v="USR-101111"/>
    <d v="2025-04-03T00:00:00"/>
    <x v="1"/>
    <x v="3"/>
    <x v="1"/>
    <x v="1"/>
    <x v="1"/>
    <n v="1"/>
    <n v="0"/>
    <n v="0"/>
    <n v="0"/>
    <n v="0"/>
    <n v="1"/>
    <n v="0"/>
    <m/>
    <n v="66.2"/>
    <s v="Unique"/>
    <s v="Valid"/>
    <s v="Valid"/>
    <s v="Valid"/>
    <s v="Valid"/>
    <s v="Valid"/>
    <s v="Outlier"/>
  </r>
  <r>
    <s v="USR-101112"/>
    <d v="2025-03-26T00:00:00"/>
    <x v="1"/>
    <x v="3"/>
    <x v="1"/>
    <x v="1"/>
    <x v="1"/>
    <n v="1"/>
    <n v="1"/>
    <n v="1"/>
    <n v="0"/>
    <n v="0"/>
    <n v="1"/>
    <n v="0"/>
    <m/>
    <n v="43.9"/>
    <s v="Unique"/>
    <s v="Valid"/>
    <s v="Valid"/>
    <s v="Valid"/>
    <s v="Valid"/>
    <s v="Valid"/>
    <s v="Outlier"/>
  </r>
  <r>
    <s v="USR-101113"/>
    <d v="2025-01-31T00:00:00"/>
    <x v="1"/>
    <x v="3"/>
    <x v="1"/>
    <x v="1"/>
    <x v="0"/>
    <n v="1"/>
    <n v="1"/>
    <n v="1"/>
    <n v="0"/>
    <n v="0"/>
    <n v="2"/>
    <n v="0"/>
    <m/>
    <n v="59.1"/>
    <s v="Unique"/>
    <s v="Valid"/>
    <s v="Valid"/>
    <s v="Valid"/>
    <s v="Valid"/>
    <s v="Valid"/>
    <s v="Outlier"/>
  </r>
  <r>
    <s v="USR-101114"/>
    <d v="2025-01-25T00:00:00"/>
    <x v="1"/>
    <x v="3"/>
    <x v="1"/>
    <x v="4"/>
    <x v="1"/>
    <n v="1"/>
    <n v="1"/>
    <n v="1"/>
    <n v="1"/>
    <n v="416.94"/>
    <n v="1"/>
    <n v="0"/>
    <n v="11"/>
    <n v="67"/>
    <s v="Unique"/>
    <s v="Valid"/>
    <s v="Valid"/>
    <s v="Valid"/>
    <s v="Valid"/>
    <s v="Valid"/>
    <s v="Outlier"/>
  </r>
  <r>
    <s v="USR-101115"/>
    <d v="2025-02-06T00:00:00"/>
    <x v="1"/>
    <x v="1"/>
    <x v="1"/>
    <x v="3"/>
    <x v="0"/>
    <n v="1"/>
    <n v="0"/>
    <n v="0"/>
    <n v="0"/>
    <n v="0"/>
    <n v="0"/>
    <n v="0"/>
    <m/>
    <n v="47.9"/>
    <s v="Unique"/>
    <s v="Valid"/>
    <s v="Valid"/>
    <s v="Valid"/>
    <s v="Valid"/>
    <s v="Valid"/>
    <s v="Outlier"/>
  </r>
  <r>
    <s v="USR-101116"/>
    <d v="2025-03-10T00:00:00"/>
    <x v="1"/>
    <x v="2"/>
    <x v="1"/>
    <x v="2"/>
    <x v="1"/>
    <n v="1"/>
    <n v="1"/>
    <n v="0"/>
    <n v="0"/>
    <n v="0"/>
    <n v="0"/>
    <n v="0"/>
    <m/>
    <n v="41.5"/>
    <s v="Unique"/>
    <s v="Valid"/>
    <s v="Valid"/>
    <s v="Valid"/>
    <s v="Valid"/>
    <s v="Valid"/>
    <s v="Outlier"/>
  </r>
  <r>
    <s v="USR-101117"/>
    <d v="2025-01-26T00:00:00"/>
    <x v="1"/>
    <x v="1"/>
    <x v="1"/>
    <x v="1"/>
    <x v="0"/>
    <n v="1"/>
    <n v="1"/>
    <n v="1"/>
    <n v="0"/>
    <n v="0"/>
    <n v="3"/>
    <n v="0"/>
    <m/>
    <n v="30.6"/>
    <s v="Unique"/>
    <s v="Valid"/>
    <s v="Valid"/>
    <s v="Valid"/>
    <s v="Valid"/>
    <s v="Valid"/>
    <s v="Outlier"/>
  </r>
  <r>
    <s v="USR-101118"/>
    <d v="2025-01-01T00:00:00"/>
    <x v="1"/>
    <x v="2"/>
    <x v="1"/>
    <x v="2"/>
    <x v="1"/>
    <n v="1"/>
    <n v="1"/>
    <n v="0"/>
    <n v="0"/>
    <n v="0"/>
    <n v="0"/>
    <n v="0"/>
    <m/>
    <n v="91.5"/>
    <s v="Unique"/>
    <s v="Valid"/>
    <s v="Valid"/>
    <s v="Valid"/>
    <s v="Valid"/>
    <s v="Valid"/>
    <s v="Outlier"/>
  </r>
  <r>
    <s v="USR-101119"/>
    <d v="2025-04-28T00:00:00"/>
    <x v="1"/>
    <x v="0"/>
    <x v="0"/>
    <x v="4"/>
    <x v="0"/>
    <n v="1"/>
    <n v="0"/>
    <n v="0"/>
    <n v="0"/>
    <n v="0"/>
    <n v="0"/>
    <n v="0"/>
    <m/>
    <n v="80.8"/>
    <s v="Unique"/>
    <s v="Valid"/>
    <s v="Valid"/>
    <s v="Valid"/>
    <s v="Valid"/>
    <s v="Valid"/>
    <s v="Outlier"/>
  </r>
  <r>
    <s v="USR-101120"/>
    <d v="2025-04-04T00:00:00"/>
    <x v="1"/>
    <x v="0"/>
    <x v="1"/>
    <x v="1"/>
    <x v="2"/>
    <n v="1"/>
    <n v="0"/>
    <n v="0"/>
    <n v="0"/>
    <n v="0"/>
    <n v="0"/>
    <n v="0"/>
    <m/>
    <n v="68.099999999999994"/>
    <s v="Unique"/>
    <s v="Valid"/>
    <s v="Valid"/>
    <s v="Valid"/>
    <s v="Valid"/>
    <s v="Valid"/>
    <s v="Outlier"/>
  </r>
  <r>
    <s v="USR-101121"/>
    <d v="2025-03-02T00:00:00"/>
    <x v="1"/>
    <x v="2"/>
    <x v="1"/>
    <x v="2"/>
    <x v="1"/>
    <n v="1"/>
    <n v="0"/>
    <n v="0"/>
    <n v="0"/>
    <n v="0"/>
    <n v="0"/>
    <n v="0"/>
    <m/>
    <n v="80.3"/>
    <s v="Unique"/>
    <s v="Valid"/>
    <s v="Valid"/>
    <s v="Valid"/>
    <s v="Valid"/>
    <s v="Valid"/>
    <s v="Outlier"/>
  </r>
  <r>
    <s v="USR-101122"/>
    <d v="2025-03-19T00:00:00"/>
    <x v="1"/>
    <x v="3"/>
    <x v="2"/>
    <x v="1"/>
    <x v="0"/>
    <n v="1"/>
    <n v="0"/>
    <n v="0"/>
    <n v="0"/>
    <n v="0"/>
    <n v="0"/>
    <n v="0"/>
    <m/>
    <n v="44.4"/>
    <s v="Unique"/>
    <s v="Valid"/>
    <s v="Valid"/>
    <s v="Valid"/>
    <s v="Valid"/>
    <s v="Valid"/>
    <s v="Outlier"/>
  </r>
  <r>
    <s v="USR-101123"/>
    <d v="2025-01-20T00:00:00"/>
    <x v="1"/>
    <x v="3"/>
    <x v="0"/>
    <x v="1"/>
    <x v="0"/>
    <n v="0"/>
    <n v="0"/>
    <n v="0"/>
    <n v="0"/>
    <n v="0"/>
    <n v="0"/>
    <n v="0"/>
    <m/>
    <n v="51.9"/>
    <s v="Unique"/>
    <s v="Valid"/>
    <s v="Valid"/>
    <s v="Valid"/>
    <s v="Valid"/>
    <s v="Valid"/>
    <s v="Outlier"/>
  </r>
  <r>
    <s v="USR-101124"/>
    <d v="2025-04-03T00:00:00"/>
    <x v="1"/>
    <x v="2"/>
    <x v="1"/>
    <x v="2"/>
    <x v="1"/>
    <n v="1"/>
    <n v="1"/>
    <n v="0"/>
    <n v="0"/>
    <n v="0"/>
    <n v="0"/>
    <n v="0"/>
    <m/>
    <n v="49.8"/>
    <s v="Unique"/>
    <s v="Valid"/>
    <s v="Valid"/>
    <s v="Valid"/>
    <s v="Valid"/>
    <s v="Valid"/>
    <s v="Outlier"/>
  </r>
  <r>
    <s v="USR-101125"/>
    <d v="2025-01-11T00:00:00"/>
    <x v="1"/>
    <x v="2"/>
    <x v="0"/>
    <x v="4"/>
    <x v="1"/>
    <n v="1"/>
    <n v="1"/>
    <n v="1"/>
    <n v="0"/>
    <n v="0"/>
    <n v="3"/>
    <n v="0"/>
    <m/>
    <n v="62.1"/>
    <s v="Unique"/>
    <s v="Valid"/>
    <s v="Valid"/>
    <s v="Valid"/>
    <s v="Valid"/>
    <s v="Valid"/>
    <s v="Outlier"/>
  </r>
  <r>
    <s v="USR-101126"/>
    <d v="2025-02-02T00:00:00"/>
    <x v="1"/>
    <x v="1"/>
    <x v="0"/>
    <x v="4"/>
    <x v="0"/>
    <n v="1"/>
    <n v="0"/>
    <n v="0"/>
    <n v="0"/>
    <n v="0"/>
    <n v="0"/>
    <n v="0"/>
    <m/>
    <n v="91.3"/>
    <s v="Unique"/>
    <s v="Valid"/>
    <s v="Valid"/>
    <s v="Valid"/>
    <s v="Valid"/>
    <s v="Valid"/>
    <s v="Outlier"/>
  </r>
  <r>
    <s v="USR-101127"/>
    <d v="2025-04-01T00:00:00"/>
    <x v="1"/>
    <x v="3"/>
    <x v="1"/>
    <x v="1"/>
    <x v="0"/>
    <n v="1"/>
    <n v="0"/>
    <n v="0"/>
    <n v="0"/>
    <n v="0"/>
    <n v="0"/>
    <n v="0"/>
    <m/>
    <n v="66.400000000000006"/>
    <s v="Unique"/>
    <s v="Valid"/>
    <s v="Valid"/>
    <s v="Valid"/>
    <s v="Valid"/>
    <s v="Valid"/>
    <s v="Outlier"/>
  </r>
  <r>
    <s v="USR-101128"/>
    <d v="2025-05-22T00:00:00"/>
    <x v="1"/>
    <x v="2"/>
    <x v="1"/>
    <x v="1"/>
    <x v="0"/>
    <n v="1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1129"/>
    <d v="2025-02-20T00:00:00"/>
    <x v="1"/>
    <x v="1"/>
    <x v="1"/>
    <x v="1"/>
    <x v="0"/>
    <n v="0"/>
    <n v="0"/>
    <n v="0"/>
    <n v="0"/>
    <n v="0"/>
    <n v="0"/>
    <n v="0"/>
    <m/>
    <n v="77.099999999999994"/>
    <s v="Unique"/>
    <s v="Valid"/>
    <s v="Valid"/>
    <s v="Valid"/>
    <s v="Valid"/>
    <s v="Valid"/>
    <s v="Outlier"/>
  </r>
  <r>
    <s v="USR-101130"/>
    <d v="2025-03-21T00:00:00"/>
    <x v="1"/>
    <x v="1"/>
    <x v="1"/>
    <x v="1"/>
    <x v="1"/>
    <n v="1"/>
    <n v="0"/>
    <n v="0"/>
    <n v="0"/>
    <n v="0"/>
    <n v="0"/>
    <n v="0"/>
    <m/>
    <n v="63.2"/>
    <s v="Unique"/>
    <s v="Valid"/>
    <s v="Valid"/>
    <s v="Valid"/>
    <s v="Valid"/>
    <s v="Valid"/>
    <s v="Outlier"/>
  </r>
  <r>
    <s v="USR-101131"/>
    <d v="2025-05-01T00:00:00"/>
    <x v="1"/>
    <x v="1"/>
    <x v="0"/>
    <x v="3"/>
    <x v="1"/>
    <n v="1"/>
    <n v="1"/>
    <n v="1"/>
    <n v="0"/>
    <n v="0"/>
    <n v="3"/>
    <n v="0"/>
    <m/>
    <n v="75.7"/>
    <s v="Unique"/>
    <s v="Valid"/>
    <s v="Valid"/>
    <s v="Valid"/>
    <s v="Valid"/>
    <s v="Valid"/>
    <s v="Outlier"/>
  </r>
  <r>
    <s v="USR-101132"/>
    <d v="2025-01-06T00:00:00"/>
    <x v="1"/>
    <x v="1"/>
    <x v="1"/>
    <x v="2"/>
    <x v="0"/>
    <n v="0"/>
    <n v="0"/>
    <n v="0"/>
    <n v="0"/>
    <n v="0"/>
    <n v="0"/>
    <n v="0"/>
    <m/>
    <n v="62.9"/>
    <s v="Unique"/>
    <s v="Valid"/>
    <s v="Valid"/>
    <s v="Valid"/>
    <s v="Valid"/>
    <s v="Valid"/>
    <s v="Outlier"/>
  </r>
  <r>
    <s v="USR-101133"/>
    <d v="2025-04-12T00:00:00"/>
    <x v="1"/>
    <x v="0"/>
    <x v="0"/>
    <x v="2"/>
    <x v="2"/>
    <n v="1"/>
    <n v="0"/>
    <n v="0"/>
    <n v="0"/>
    <n v="0"/>
    <n v="3"/>
    <n v="0"/>
    <m/>
    <n v="64.599999999999994"/>
    <s v="Unique"/>
    <s v="Valid"/>
    <s v="Valid"/>
    <s v="Valid"/>
    <s v="Valid"/>
    <s v="Valid"/>
    <s v="Outlier"/>
  </r>
  <r>
    <s v="USR-101134"/>
    <d v="2025-04-18T00:00:00"/>
    <x v="1"/>
    <x v="0"/>
    <x v="1"/>
    <x v="5"/>
    <x v="0"/>
    <n v="1"/>
    <n v="0"/>
    <n v="0"/>
    <n v="0"/>
    <n v="0"/>
    <n v="0"/>
    <n v="0"/>
    <m/>
    <n v="76.599999999999994"/>
    <s v="Unique"/>
    <s v="Valid"/>
    <s v="Valid"/>
    <s v="Valid"/>
    <s v="Valid"/>
    <s v="Valid"/>
    <s v="Outlier"/>
  </r>
  <r>
    <s v="USR-101135"/>
    <d v="2025-03-24T00:00:00"/>
    <x v="1"/>
    <x v="2"/>
    <x v="1"/>
    <x v="4"/>
    <x v="0"/>
    <n v="1"/>
    <n v="0"/>
    <n v="0"/>
    <n v="0"/>
    <n v="0"/>
    <n v="0"/>
    <n v="0"/>
    <m/>
    <n v="74.8"/>
    <s v="Unique"/>
    <s v="Valid"/>
    <s v="Valid"/>
    <s v="Valid"/>
    <s v="Valid"/>
    <s v="Valid"/>
    <s v="Outlier"/>
  </r>
  <r>
    <s v="USR-101136"/>
    <d v="2025-03-18T00:00:00"/>
    <x v="1"/>
    <x v="2"/>
    <x v="0"/>
    <x v="0"/>
    <x v="2"/>
    <n v="1"/>
    <n v="0"/>
    <n v="0"/>
    <n v="0"/>
    <n v="0"/>
    <n v="2"/>
    <n v="0"/>
    <m/>
    <n v="38.1"/>
    <s v="Unique"/>
    <s v="Valid"/>
    <s v="Valid"/>
    <s v="Valid"/>
    <s v="Valid"/>
    <s v="Valid"/>
    <s v="Outlier"/>
  </r>
  <r>
    <s v="USR-101137"/>
    <d v="2025-04-30T00:00:00"/>
    <x v="1"/>
    <x v="3"/>
    <x v="2"/>
    <x v="2"/>
    <x v="0"/>
    <n v="1"/>
    <n v="1"/>
    <n v="0"/>
    <n v="0"/>
    <n v="0"/>
    <n v="0"/>
    <n v="0"/>
    <m/>
    <n v="60.2"/>
    <s v="Unique"/>
    <s v="Valid"/>
    <s v="Valid"/>
    <s v="Valid"/>
    <s v="Valid"/>
    <s v="Valid"/>
    <s v="Outlier"/>
  </r>
  <r>
    <s v="USR-101138"/>
    <d v="2025-01-25T00:00:00"/>
    <x v="1"/>
    <x v="1"/>
    <x v="1"/>
    <x v="0"/>
    <x v="1"/>
    <n v="1"/>
    <n v="1"/>
    <n v="0"/>
    <n v="0"/>
    <n v="0"/>
    <n v="0"/>
    <n v="0"/>
    <m/>
    <n v="73.5"/>
    <s v="Unique"/>
    <s v="Valid"/>
    <s v="Valid"/>
    <s v="Valid"/>
    <s v="Valid"/>
    <s v="Valid"/>
    <s v="Outlier"/>
  </r>
  <r>
    <s v="USR-101139"/>
    <d v="2025-04-10T00:00:00"/>
    <x v="1"/>
    <x v="3"/>
    <x v="1"/>
    <x v="1"/>
    <x v="1"/>
    <n v="1"/>
    <n v="0"/>
    <n v="0"/>
    <n v="0"/>
    <n v="0"/>
    <n v="0"/>
    <n v="0"/>
    <m/>
    <n v="70.900000000000006"/>
    <s v="Unique"/>
    <s v="Valid"/>
    <s v="Valid"/>
    <s v="Valid"/>
    <s v="Valid"/>
    <s v="Valid"/>
    <s v="Outlier"/>
  </r>
  <r>
    <s v="USR-101140"/>
    <d v="2025-01-10T00:00:00"/>
    <x v="1"/>
    <x v="1"/>
    <x v="1"/>
    <x v="4"/>
    <x v="1"/>
    <n v="1"/>
    <n v="0"/>
    <n v="0"/>
    <n v="0"/>
    <n v="0"/>
    <n v="0"/>
    <n v="0"/>
    <m/>
    <n v="63.7"/>
    <s v="Unique"/>
    <s v="Valid"/>
    <s v="Valid"/>
    <s v="Valid"/>
    <s v="Valid"/>
    <s v="Valid"/>
    <s v="Outlier"/>
  </r>
  <r>
    <s v="USR-101141"/>
    <d v="2025-02-11T00:00:00"/>
    <x v="1"/>
    <x v="3"/>
    <x v="1"/>
    <x v="2"/>
    <x v="1"/>
    <n v="1"/>
    <n v="0"/>
    <n v="0"/>
    <n v="0"/>
    <n v="0"/>
    <n v="0"/>
    <n v="0"/>
    <m/>
    <n v="86.5"/>
    <s v="Unique"/>
    <s v="Valid"/>
    <s v="Valid"/>
    <s v="Valid"/>
    <s v="Valid"/>
    <s v="Valid"/>
    <s v="Outlier"/>
  </r>
  <r>
    <s v="USR-101142"/>
    <d v="2025-05-01T00:00:00"/>
    <x v="1"/>
    <x v="2"/>
    <x v="1"/>
    <x v="4"/>
    <x v="0"/>
    <n v="1"/>
    <n v="1"/>
    <n v="1"/>
    <n v="1"/>
    <n v="921.72"/>
    <n v="3"/>
    <n v="0"/>
    <n v="7"/>
    <n v="74.599999999999994"/>
    <s v="Unique"/>
    <s v="Valid"/>
    <s v="Valid"/>
    <s v="Valid"/>
    <s v="Valid"/>
    <s v="Valid"/>
    <s v="Outlier"/>
  </r>
  <r>
    <s v="USR-101143"/>
    <d v="2025-01-18T00:00:00"/>
    <x v="1"/>
    <x v="2"/>
    <x v="1"/>
    <x v="1"/>
    <x v="1"/>
    <n v="1"/>
    <n v="0"/>
    <n v="0"/>
    <n v="0"/>
    <n v="0"/>
    <n v="0"/>
    <n v="0"/>
    <m/>
    <n v="46.6"/>
    <s v="Unique"/>
    <s v="Valid"/>
    <s v="Valid"/>
    <s v="Valid"/>
    <s v="Valid"/>
    <s v="Valid"/>
    <s v="Outlier"/>
  </r>
  <r>
    <s v="USR-101144"/>
    <d v="2025-01-02T00:00:00"/>
    <x v="1"/>
    <x v="0"/>
    <x v="1"/>
    <x v="2"/>
    <x v="1"/>
    <n v="0"/>
    <n v="0"/>
    <n v="0"/>
    <n v="0"/>
    <n v="0"/>
    <n v="0"/>
    <n v="0"/>
    <m/>
    <n v="61.2"/>
    <s v="Unique"/>
    <s v="Valid"/>
    <s v="Valid"/>
    <s v="Valid"/>
    <s v="Valid"/>
    <s v="Valid"/>
    <s v="Outlier"/>
  </r>
  <r>
    <s v="USR-101145"/>
    <d v="2025-05-11T00:00:00"/>
    <x v="1"/>
    <x v="1"/>
    <x v="1"/>
    <x v="1"/>
    <x v="1"/>
    <n v="1"/>
    <n v="1"/>
    <n v="1"/>
    <n v="1"/>
    <n v="290.39"/>
    <n v="0"/>
    <n v="0"/>
    <n v="4"/>
    <n v="54.4"/>
    <s v="Unique"/>
    <s v="Valid"/>
    <s v="Valid"/>
    <s v="Valid"/>
    <s v="Valid"/>
    <s v="Valid"/>
    <s v="Outlier"/>
  </r>
  <r>
    <s v="USR-101146"/>
    <d v="2025-03-22T00:00:00"/>
    <x v="1"/>
    <x v="0"/>
    <x v="1"/>
    <x v="3"/>
    <x v="1"/>
    <n v="1"/>
    <n v="1"/>
    <n v="1"/>
    <n v="0"/>
    <n v="0"/>
    <n v="0"/>
    <n v="0"/>
    <m/>
    <n v="72"/>
    <s v="Unique"/>
    <s v="Valid"/>
    <s v="Valid"/>
    <s v="Valid"/>
    <s v="Valid"/>
    <s v="Valid"/>
    <s v="Outlier"/>
  </r>
  <r>
    <s v="USR-101147"/>
    <d v="2025-05-02T00:00:00"/>
    <x v="1"/>
    <x v="3"/>
    <x v="1"/>
    <x v="4"/>
    <x v="2"/>
    <n v="1"/>
    <n v="1"/>
    <n v="1"/>
    <n v="1"/>
    <n v="1858.85"/>
    <n v="0"/>
    <n v="0"/>
    <n v="8"/>
    <n v="88.6"/>
    <s v="Unique"/>
    <s v="Valid"/>
    <s v="Valid"/>
    <s v="Valid"/>
    <s v="Valid"/>
    <s v="Valid"/>
    <s v="Outlier"/>
  </r>
  <r>
    <s v="USR-101148"/>
    <d v="2025-05-26T00:00:00"/>
    <x v="1"/>
    <x v="2"/>
    <x v="0"/>
    <x v="5"/>
    <x v="0"/>
    <n v="1"/>
    <n v="0"/>
    <n v="0"/>
    <n v="0"/>
    <n v="0"/>
    <n v="0"/>
    <n v="0"/>
    <m/>
    <n v="77.599999999999994"/>
    <s v="Unique"/>
    <s v="Valid"/>
    <s v="Valid"/>
    <s v="Valid"/>
    <s v="Valid"/>
    <s v="Valid"/>
    <s v="Outlier"/>
  </r>
  <r>
    <s v="USR-101149"/>
    <d v="2025-03-13T00:00:00"/>
    <x v="1"/>
    <x v="3"/>
    <x v="1"/>
    <x v="1"/>
    <x v="0"/>
    <n v="1"/>
    <n v="0"/>
    <n v="0"/>
    <n v="0"/>
    <n v="0"/>
    <n v="1"/>
    <n v="0"/>
    <m/>
    <n v="44.3"/>
    <s v="Unique"/>
    <s v="Valid"/>
    <s v="Valid"/>
    <s v="Valid"/>
    <s v="Valid"/>
    <s v="Valid"/>
    <s v="Outlier"/>
  </r>
  <r>
    <s v="USR-101150"/>
    <d v="2025-05-17T00:00:00"/>
    <x v="1"/>
    <x v="3"/>
    <x v="0"/>
    <x v="2"/>
    <x v="1"/>
    <n v="1"/>
    <n v="1"/>
    <n v="0"/>
    <n v="0"/>
    <n v="0"/>
    <n v="0"/>
    <n v="0"/>
    <m/>
    <n v="49"/>
    <s v="Unique"/>
    <s v="Valid"/>
    <s v="Valid"/>
    <s v="Valid"/>
    <s v="Valid"/>
    <s v="Valid"/>
    <s v="Outlier"/>
  </r>
  <r>
    <s v="USR-101151"/>
    <d v="2025-03-13T00:00:00"/>
    <x v="1"/>
    <x v="0"/>
    <x v="0"/>
    <x v="3"/>
    <x v="2"/>
    <n v="1"/>
    <n v="0"/>
    <n v="0"/>
    <n v="0"/>
    <n v="0"/>
    <n v="0"/>
    <n v="0"/>
    <m/>
    <n v="53.9"/>
    <s v="Unique"/>
    <s v="Valid"/>
    <s v="Valid"/>
    <s v="Valid"/>
    <s v="Valid"/>
    <s v="Valid"/>
    <s v="Outlier"/>
  </r>
  <r>
    <s v="USR-101152"/>
    <d v="2025-02-11T00:00:00"/>
    <x v="1"/>
    <x v="2"/>
    <x v="0"/>
    <x v="1"/>
    <x v="0"/>
    <n v="1"/>
    <n v="0"/>
    <n v="0"/>
    <n v="0"/>
    <n v="0"/>
    <n v="1"/>
    <n v="0"/>
    <m/>
    <n v="69"/>
    <s v="Unique"/>
    <s v="Valid"/>
    <s v="Valid"/>
    <s v="Valid"/>
    <s v="Valid"/>
    <s v="Valid"/>
    <s v="Outlier"/>
  </r>
  <r>
    <s v="USR-101153"/>
    <d v="2025-03-01T00:00:00"/>
    <x v="1"/>
    <x v="1"/>
    <x v="1"/>
    <x v="4"/>
    <x v="1"/>
    <n v="0"/>
    <n v="0"/>
    <n v="0"/>
    <n v="0"/>
    <n v="0"/>
    <n v="0"/>
    <n v="0"/>
    <m/>
    <n v="37.4"/>
    <s v="Unique"/>
    <s v="Valid"/>
    <s v="Valid"/>
    <s v="Valid"/>
    <s v="Valid"/>
    <s v="Valid"/>
    <s v="Outlier"/>
  </r>
  <r>
    <s v="USR-101154"/>
    <d v="2025-04-15T00:00:00"/>
    <x v="1"/>
    <x v="1"/>
    <x v="1"/>
    <x v="1"/>
    <x v="0"/>
    <n v="0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1155"/>
    <d v="2025-02-02T00:00:00"/>
    <x v="1"/>
    <x v="2"/>
    <x v="1"/>
    <x v="1"/>
    <x v="2"/>
    <n v="1"/>
    <n v="0"/>
    <n v="0"/>
    <n v="0"/>
    <n v="0"/>
    <n v="0"/>
    <n v="0"/>
    <m/>
    <n v="60.8"/>
    <s v="Unique"/>
    <s v="Valid"/>
    <s v="Valid"/>
    <s v="Valid"/>
    <s v="Valid"/>
    <s v="Valid"/>
    <s v="Outlier"/>
  </r>
  <r>
    <s v="USR-101156"/>
    <d v="2025-05-19T00:00:00"/>
    <x v="1"/>
    <x v="3"/>
    <x v="1"/>
    <x v="0"/>
    <x v="1"/>
    <n v="1"/>
    <n v="0"/>
    <n v="0"/>
    <n v="0"/>
    <n v="0"/>
    <n v="0"/>
    <n v="0"/>
    <m/>
    <n v="57.5"/>
    <s v="Unique"/>
    <s v="Valid"/>
    <s v="Valid"/>
    <s v="Valid"/>
    <s v="Valid"/>
    <s v="Valid"/>
    <s v="Outlier"/>
  </r>
  <r>
    <s v="USR-101157"/>
    <d v="2025-01-05T00:00:00"/>
    <x v="1"/>
    <x v="1"/>
    <x v="1"/>
    <x v="3"/>
    <x v="1"/>
    <n v="0"/>
    <n v="0"/>
    <n v="0"/>
    <n v="0"/>
    <n v="0"/>
    <n v="0"/>
    <n v="0"/>
    <m/>
    <n v="84.2"/>
    <s v="Unique"/>
    <s v="Valid"/>
    <s v="Valid"/>
    <s v="Valid"/>
    <s v="Valid"/>
    <s v="Valid"/>
    <s v="Outlier"/>
  </r>
  <r>
    <s v="USR-101158"/>
    <d v="2025-03-08T00:00:00"/>
    <x v="1"/>
    <x v="3"/>
    <x v="1"/>
    <x v="2"/>
    <x v="1"/>
    <n v="1"/>
    <n v="1"/>
    <n v="0"/>
    <n v="0"/>
    <n v="0"/>
    <n v="0"/>
    <n v="0"/>
    <m/>
    <n v="27.4"/>
    <s v="Unique"/>
    <s v="Valid"/>
    <s v="Valid"/>
    <s v="Valid"/>
    <s v="Valid"/>
    <s v="Valid"/>
    <s v="Outlier"/>
  </r>
  <r>
    <s v="USR-101159"/>
    <d v="2025-03-12T00:00:00"/>
    <x v="1"/>
    <x v="1"/>
    <x v="1"/>
    <x v="0"/>
    <x v="0"/>
    <n v="1"/>
    <n v="0"/>
    <n v="0"/>
    <n v="0"/>
    <n v="0"/>
    <n v="1"/>
    <n v="0"/>
    <m/>
    <n v="67.599999999999994"/>
    <s v="Unique"/>
    <s v="Valid"/>
    <s v="Valid"/>
    <s v="Valid"/>
    <s v="Valid"/>
    <s v="Valid"/>
    <s v="Outlier"/>
  </r>
  <r>
    <s v="USR-101160"/>
    <d v="2025-01-24T00:00:00"/>
    <x v="1"/>
    <x v="1"/>
    <x v="1"/>
    <x v="1"/>
    <x v="1"/>
    <n v="0"/>
    <n v="0"/>
    <n v="0"/>
    <n v="0"/>
    <n v="0"/>
    <n v="0"/>
    <n v="0"/>
    <m/>
    <n v="68.400000000000006"/>
    <s v="Unique"/>
    <s v="Valid"/>
    <s v="Valid"/>
    <s v="Valid"/>
    <s v="Valid"/>
    <s v="Valid"/>
    <s v="Outlier"/>
  </r>
  <r>
    <s v="USR-101161"/>
    <d v="2025-05-22T00:00:00"/>
    <x v="1"/>
    <x v="3"/>
    <x v="1"/>
    <x v="2"/>
    <x v="0"/>
    <n v="1"/>
    <n v="1"/>
    <n v="1"/>
    <n v="0"/>
    <n v="0"/>
    <n v="0"/>
    <n v="0"/>
    <m/>
    <n v="66.5"/>
    <s v="Unique"/>
    <s v="Valid"/>
    <s v="Valid"/>
    <s v="Valid"/>
    <s v="Valid"/>
    <s v="Valid"/>
    <s v="Outlier"/>
  </r>
  <r>
    <s v="USR-101162"/>
    <d v="2025-03-27T00:00:00"/>
    <x v="1"/>
    <x v="3"/>
    <x v="1"/>
    <x v="2"/>
    <x v="1"/>
    <n v="1"/>
    <n v="0"/>
    <n v="0"/>
    <n v="0"/>
    <n v="0"/>
    <n v="0"/>
    <n v="0"/>
    <m/>
    <n v="38.200000000000003"/>
    <s v="Unique"/>
    <s v="Valid"/>
    <s v="Valid"/>
    <s v="Valid"/>
    <s v="Valid"/>
    <s v="Valid"/>
    <s v="Outlier"/>
  </r>
  <r>
    <s v="USR-101163"/>
    <d v="2025-01-02T00:00:00"/>
    <x v="1"/>
    <x v="1"/>
    <x v="1"/>
    <x v="4"/>
    <x v="1"/>
    <n v="0"/>
    <n v="0"/>
    <n v="0"/>
    <n v="0"/>
    <n v="0"/>
    <n v="1"/>
    <n v="0"/>
    <m/>
    <n v="66.7"/>
    <s v="Unique"/>
    <s v="Valid"/>
    <s v="Valid"/>
    <s v="Valid"/>
    <s v="Valid"/>
    <s v="Valid"/>
    <s v="Outlier"/>
  </r>
  <r>
    <s v="USR-101164"/>
    <d v="2025-02-24T00:00:00"/>
    <x v="1"/>
    <x v="0"/>
    <x v="1"/>
    <x v="2"/>
    <x v="1"/>
    <n v="0"/>
    <n v="0"/>
    <n v="0"/>
    <n v="0"/>
    <n v="0"/>
    <n v="1"/>
    <n v="0"/>
    <m/>
    <n v="73.7"/>
    <s v="Unique"/>
    <s v="Valid"/>
    <s v="Valid"/>
    <s v="Valid"/>
    <s v="Valid"/>
    <s v="Valid"/>
    <s v="Outlier"/>
  </r>
  <r>
    <s v="USR-101165"/>
    <d v="2025-03-01T00:00:00"/>
    <x v="1"/>
    <x v="1"/>
    <x v="0"/>
    <x v="1"/>
    <x v="0"/>
    <n v="1"/>
    <n v="1"/>
    <n v="1"/>
    <n v="0"/>
    <n v="0"/>
    <n v="0"/>
    <n v="0"/>
    <m/>
    <n v="63.9"/>
    <s v="Unique"/>
    <s v="Valid"/>
    <s v="Valid"/>
    <s v="Valid"/>
    <s v="Valid"/>
    <s v="Valid"/>
    <s v="Outlier"/>
  </r>
  <r>
    <s v="USR-101166"/>
    <d v="2025-03-26T00:00:00"/>
    <x v="1"/>
    <x v="3"/>
    <x v="2"/>
    <x v="1"/>
    <x v="0"/>
    <n v="1"/>
    <n v="0"/>
    <n v="0"/>
    <n v="0"/>
    <n v="0"/>
    <n v="1"/>
    <n v="0"/>
    <m/>
    <n v="82.6"/>
    <s v="Unique"/>
    <s v="Valid"/>
    <s v="Valid"/>
    <s v="Valid"/>
    <s v="Valid"/>
    <s v="Valid"/>
    <s v="Outlier"/>
  </r>
  <r>
    <s v="USR-101167"/>
    <d v="2025-05-25T00:00:00"/>
    <x v="1"/>
    <x v="2"/>
    <x v="1"/>
    <x v="2"/>
    <x v="1"/>
    <n v="0"/>
    <n v="0"/>
    <n v="0"/>
    <n v="0"/>
    <n v="0"/>
    <n v="1"/>
    <n v="0"/>
    <m/>
    <n v="58.3"/>
    <s v="Unique"/>
    <s v="Valid"/>
    <s v="Valid"/>
    <s v="Valid"/>
    <s v="Valid"/>
    <s v="Valid"/>
    <s v="Outlier"/>
  </r>
  <r>
    <s v="USR-101168"/>
    <d v="2025-02-25T00:00:00"/>
    <x v="1"/>
    <x v="1"/>
    <x v="1"/>
    <x v="3"/>
    <x v="2"/>
    <n v="1"/>
    <n v="1"/>
    <n v="1"/>
    <n v="1"/>
    <n v="1547.06"/>
    <n v="0"/>
    <n v="1"/>
    <n v="2"/>
    <n v="72.900000000000006"/>
    <s v="Unique"/>
    <s v="Valid"/>
    <s v="Valid"/>
    <s v="Valid"/>
    <s v="Valid"/>
    <s v="Valid"/>
    <s v="Outlier"/>
  </r>
  <r>
    <s v="USR-101169"/>
    <d v="2025-03-23T00:00:00"/>
    <x v="1"/>
    <x v="3"/>
    <x v="1"/>
    <x v="4"/>
    <x v="1"/>
    <n v="1"/>
    <n v="1"/>
    <n v="1"/>
    <n v="0"/>
    <n v="0"/>
    <n v="2"/>
    <n v="0"/>
    <m/>
    <n v="53.5"/>
    <s v="Unique"/>
    <s v="Valid"/>
    <s v="Valid"/>
    <s v="Valid"/>
    <s v="Valid"/>
    <s v="Valid"/>
    <s v="Outlier"/>
  </r>
  <r>
    <s v="USR-101170"/>
    <d v="2025-04-21T00:00:00"/>
    <x v="1"/>
    <x v="1"/>
    <x v="1"/>
    <x v="3"/>
    <x v="1"/>
    <n v="1"/>
    <n v="0"/>
    <n v="0"/>
    <n v="0"/>
    <n v="0"/>
    <n v="0"/>
    <n v="0"/>
    <m/>
    <n v="54.8"/>
    <s v="Unique"/>
    <s v="Valid"/>
    <s v="Valid"/>
    <s v="Valid"/>
    <s v="Valid"/>
    <s v="Valid"/>
    <s v="Outlier"/>
  </r>
  <r>
    <s v="USR-101171"/>
    <d v="2025-05-21T00:00:00"/>
    <x v="1"/>
    <x v="0"/>
    <x v="1"/>
    <x v="1"/>
    <x v="2"/>
    <n v="1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1172"/>
    <d v="2025-04-25T00:00:00"/>
    <x v="1"/>
    <x v="0"/>
    <x v="0"/>
    <x v="4"/>
    <x v="1"/>
    <n v="1"/>
    <n v="0"/>
    <n v="0"/>
    <n v="0"/>
    <n v="0"/>
    <n v="1"/>
    <n v="0"/>
    <m/>
    <n v="71.3"/>
    <s v="Unique"/>
    <s v="Valid"/>
    <s v="Valid"/>
    <s v="Valid"/>
    <s v="Valid"/>
    <s v="Valid"/>
    <s v="Outlier"/>
  </r>
  <r>
    <s v="USR-101173"/>
    <d v="2025-05-23T00:00:00"/>
    <x v="1"/>
    <x v="1"/>
    <x v="1"/>
    <x v="3"/>
    <x v="0"/>
    <n v="1"/>
    <n v="0"/>
    <n v="0"/>
    <n v="0"/>
    <n v="0"/>
    <n v="1"/>
    <n v="0"/>
    <m/>
    <n v="57.5"/>
    <s v="Unique"/>
    <s v="Valid"/>
    <s v="Valid"/>
    <s v="Valid"/>
    <s v="Valid"/>
    <s v="Valid"/>
    <s v="Outlier"/>
  </r>
  <r>
    <s v="USR-101174"/>
    <d v="2025-03-18T00:00:00"/>
    <x v="1"/>
    <x v="3"/>
    <x v="1"/>
    <x v="0"/>
    <x v="1"/>
    <n v="1"/>
    <n v="0"/>
    <n v="0"/>
    <n v="0"/>
    <n v="0"/>
    <n v="4"/>
    <n v="0"/>
    <m/>
    <n v="50.9"/>
    <s v="Unique"/>
    <s v="Valid"/>
    <s v="Valid"/>
    <s v="Valid"/>
    <s v="Valid"/>
    <s v="Valid"/>
    <s v="Outlier"/>
  </r>
  <r>
    <s v="USR-101175"/>
    <d v="2025-01-03T00:00:00"/>
    <x v="1"/>
    <x v="3"/>
    <x v="2"/>
    <x v="1"/>
    <x v="1"/>
    <n v="1"/>
    <n v="1"/>
    <n v="1"/>
    <n v="0"/>
    <n v="0"/>
    <n v="0"/>
    <n v="0"/>
    <m/>
    <n v="69.3"/>
    <s v="Unique"/>
    <s v="Valid"/>
    <s v="Valid"/>
    <s v="Valid"/>
    <s v="Valid"/>
    <s v="Valid"/>
    <s v="Outlier"/>
  </r>
  <r>
    <s v="USR-101176"/>
    <d v="2025-02-08T00:00:00"/>
    <x v="1"/>
    <x v="1"/>
    <x v="0"/>
    <x v="1"/>
    <x v="1"/>
    <n v="1"/>
    <n v="0"/>
    <n v="0"/>
    <n v="0"/>
    <n v="0"/>
    <n v="0"/>
    <n v="0"/>
    <m/>
    <n v="50.1"/>
    <s v="Unique"/>
    <s v="Valid"/>
    <s v="Valid"/>
    <s v="Valid"/>
    <s v="Valid"/>
    <s v="Valid"/>
    <s v="Outlier"/>
  </r>
  <r>
    <s v="USR-101177"/>
    <d v="2025-02-04T00:00:00"/>
    <x v="1"/>
    <x v="2"/>
    <x v="3"/>
    <x v="2"/>
    <x v="0"/>
    <n v="0"/>
    <n v="0"/>
    <n v="0"/>
    <n v="0"/>
    <n v="0"/>
    <n v="0"/>
    <n v="0"/>
    <m/>
    <n v="69.7"/>
    <s v="Unique"/>
    <s v="Valid"/>
    <s v="Valid"/>
    <s v="Valid"/>
    <s v="Valid"/>
    <s v="Valid"/>
    <s v="Outlier"/>
  </r>
  <r>
    <s v="USR-101178"/>
    <d v="2025-01-16T00:00:00"/>
    <x v="1"/>
    <x v="0"/>
    <x v="1"/>
    <x v="2"/>
    <x v="1"/>
    <n v="0"/>
    <n v="0"/>
    <n v="0"/>
    <n v="0"/>
    <n v="0"/>
    <n v="0"/>
    <n v="0"/>
    <m/>
    <n v="63.5"/>
    <s v="Unique"/>
    <s v="Valid"/>
    <s v="Valid"/>
    <s v="Valid"/>
    <s v="Valid"/>
    <s v="Valid"/>
    <s v="Outlier"/>
  </r>
  <r>
    <s v="USR-101179"/>
    <d v="2025-04-04T00:00:00"/>
    <x v="1"/>
    <x v="1"/>
    <x v="0"/>
    <x v="2"/>
    <x v="1"/>
    <n v="1"/>
    <n v="1"/>
    <n v="1"/>
    <n v="1"/>
    <n v="265.58999999999997"/>
    <n v="1"/>
    <n v="0"/>
    <n v="8"/>
    <n v="80.400000000000006"/>
    <s v="Unique"/>
    <s v="Valid"/>
    <s v="Valid"/>
    <s v="Valid"/>
    <s v="Valid"/>
    <s v="Valid"/>
    <s v="Outlier"/>
  </r>
  <r>
    <s v="USR-101180"/>
    <d v="2025-01-23T00:00:00"/>
    <x v="1"/>
    <x v="0"/>
    <x v="0"/>
    <x v="2"/>
    <x v="1"/>
    <n v="0"/>
    <n v="0"/>
    <n v="0"/>
    <n v="0"/>
    <n v="0"/>
    <n v="0"/>
    <n v="0"/>
    <m/>
    <n v="58.9"/>
    <s v="Unique"/>
    <s v="Valid"/>
    <s v="Valid"/>
    <s v="Valid"/>
    <s v="Valid"/>
    <s v="Valid"/>
    <s v="Outlier"/>
  </r>
  <r>
    <s v="USR-101181"/>
    <d v="2025-03-22T00:00:00"/>
    <x v="1"/>
    <x v="3"/>
    <x v="0"/>
    <x v="2"/>
    <x v="1"/>
    <n v="1"/>
    <n v="0"/>
    <n v="0"/>
    <n v="0"/>
    <n v="0"/>
    <n v="0"/>
    <n v="0"/>
    <m/>
    <n v="56.8"/>
    <s v="Unique"/>
    <s v="Valid"/>
    <s v="Valid"/>
    <s v="Valid"/>
    <s v="Valid"/>
    <s v="Valid"/>
    <s v="Outlier"/>
  </r>
  <r>
    <s v="USR-101182"/>
    <d v="2025-02-02T00:00:00"/>
    <x v="1"/>
    <x v="2"/>
    <x v="2"/>
    <x v="4"/>
    <x v="2"/>
    <n v="0"/>
    <n v="0"/>
    <n v="0"/>
    <n v="0"/>
    <n v="0"/>
    <n v="0"/>
    <n v="0"/>
    <m/>
    <n v="73.900000000000006"/>
    <s v="Unique"/>
    <s v="Valid"/>
    <s v="Valid"/>
    <s v="Valid"/>
    <s v="Valid"/>
    <s v="Valid"/>
    <s v="Outlier"/>
  </r>
  <r>
    <s v="USR-101183"/>
    <d v="2025-01-31T00:00:00"/>
    <x v="1"/>
    <x v="0"/>
    <x v="0"/>
    <x v="2"/>
    <x v="1"/>
    <n v="0"/>
    <n v="0"/>
    <n v="0"/>
    <n v="0"/>
    <n v="0"/>
    <n v="0"/>
    <n v="0"/>
    <m/>
    <n v="76.3"/>
    <s v="Unique"/>
    <s v="Valid"/>
    <s v="Valid"/>
    <s v="Valid"/>
    <s v="Valid"/>
    <s v="Valid"/>
    <s v="Outlier"/>
  </r>
  <r>
    <s v="USR-101184"/>
    <d v="2025-05-27T00:00:00"/>
    <x v="1"/>
    <x v="1"/>
    <x v="1"/>
    <x v="1"/>
    <x v="0"/>
    <n v="1"/>
    <n v="0"/>
    <n v="0"/>
    <n v="0"/>
    <n v="0"/>
    <n v="0"/>
    <n v="0"/>
    <m/>
    <n v="56.9"/>
    <s v="Unique"/>
    <s v="Valid"/>
    <s v="Valid"/>
    <s v="Valid"/>
    <s v="Valid"/>
    <s v="Valid"/>
    <s v="Outlier"/>
  </r>
  <r>
    <s v="USR-101185"/>
    <d v="2025-05-07T00:00:00"/>
    <x v="1"/>
    <x v="0"/>
    <x v="1"/>
    <x v="1"/>
    <x v="2"/>
    <n v="1"/>
    <n v="0"/>
    <n v="0"/>
    <n v="0"/>
    <n v="0"/>
    <n v="2"/>
    <n v="0"/>
    <m/>
    <n v="49.4"/>
    <s v="Unique"/>
    <s v="Valid"/>
    <s v="Valid"/>
    <s v="Valid"/>
    <s v="Valid"/>
    <s v="Valid"/>
    <s v="Outlier"/>
  </r>
  <r>
    <s v="USR-101186"/>
    <d v="2025-05-08T00:00:00"/>
    <x v="1"/>
    <x v="0"/>
    <x v="0"/>
    <x v="2"/>
    <x v="0"/>
    <n v="1"/>
    <n v="0"/>
    <n v="0"/>
    <n v="0"/>
    <n v="0"/>
    <n v="0"/>
    <n v="0"/>
    <m/>
    <n v="86.7"/>
    <s v="Unique"/>
    <s v="Valid"/>
    <s v="Valid"/>
    <s v="Valid"/>
    <s v="Valid"/>
    <s v="Valid"/>
    <s v="Outlier"/>
  </r>
  <r>
    <s v="USR-101187"/>
    <d v="2025-01-15T00:00:00"/>
    <x v="1"/>
    <x v="1"/>
    <x v="0"/>
    <x v="0"/>
    <x v="1"/>
    <n v="1"/>
    <n v="0"/>
    <n v="0"/>
    <n v="0"/>
    <n v="0"/>
    <n v="3"/>
    <n v="0"/>
    <m/>
    <n v="69"/>
    <s v="Unique"/>
    <s v="Valid"/>
    <s v="Valid"/>
    <s v="Valid"/>
    <s v="Valid"/>
    <s v="Valid"/>
    <s v="Outlier"/>
  </r>
  <r>
    <s v="USR-101188"/>
    <d v="2025-01-18T00:00:00"/>
    <x v="1"/>
    <x v="0"/>
    <x v="1"/>
    <x v="2"/>
    <x v="1"/>
    <n v="0"/>
    <n v="0"/>
    <n v="0"/>
    <n v="0"/>
    <n v="0"/>
    <n v="0"/>
    <n v="0"/>
    <m/>
    <n v="84.5"/>
    <s v="Unique"/>
    <s v="Valid"/>
    <s v="Valid"/>
    <s v="Valid"/>
    <s v="Valid"/>
    <s v="Valid"/>
    <s v="Outlier"/>
  </r>
  <r>
    <s v="USR-101189"/>
    <d v="2025-04-16T00:00:00"/>
    <x v="1"/>
    <x v="2"/>
    <x v="3"/>
    <x v="3"/>
    <x v="1"/>
    <n v="1"/>
    <n v="0"/>
    <n v="0"/>
    <n v="0"/>
    <n v="0"/>
    <n v="0"/>
    <n v="0"/>
    <m/>
    <n v="66.3"/>
    <s v="Unique"/>
    <s v="Valid"/>
    <s v="Valid"/>
    <s v="Valid"/>
    <s v="Valid"/>
    <s v="Valid"/>
    <s v="Outlier"/>
  </r>
  <r>
    <s v="USR-101190"/>
    <d v="2025-02-16T00:00:00"/>
    <x v="1"/>
    <x v="2"/>
    <x v="0"/>
    <x v="2"/>
    <x v="1"/>
    <n v="0"/>
    <n v="0"/>
    <n v="0"/>
    <n v="0"/>
    <n v="0"/>
    <n v="0"/>
    <n v="0"/>
    <m/>
    <n v="52.2"/>
    <s v="Unique"/>
    <s v="Valid"/>
    <s v="Valid"/>
    <s v="Valid"/>
    <s v="Valid"/>
    <s v="Valid"/>
    <s v="Outlier"/>
  </r>
  <r>
    <s v="USR-101191"/>
    <d v="2025-04-17T00:00:00"/>
    <x v="1"/>
    <x v="3"/>
    <x v="0"/>
    <x v="3"/>
    <x v="2"/>
    <n v="1"/>
    <n v="1"/>
    <n v="1"/>
    <n v="0"/>
    <n v="0"/>
    <n v="0"/>
    <n v="0"/>
    <m/>
    <n v="81.2"/>
    <s v="Unique"/>
    <s v="Valid"/>
    <s v="Valid"/>
    <s v="Valid"/>
    <s v="Valid"/>
    <s v="Valid"/>
    <s v="Outlier"/>
  </r>
  <r>
    <s v="USR-101192"/>
    <d v="2025-04-30T00:00:00"/>
    <x v="1"/>
    <x v="3"/>
    <x v="1"/>
    <x v="1"/>
    <x v="0"/>
    <n v="0"/>
    <n v="0"/>
    <n v="0"/>
    <n v="0"/>
    <n v="0"/>
    <n v="0"/>
    <n v="0"/>
    <m/>
    <n v="53.9"/>
    <s v="Unique"/>
    <s v="Valid"/>
    <s v="Valid"/>
    <s v="Valid"/>
    <s v="Valid"/>
    <s v="Valid"/>
    <s v="Outlier"/>
  </r>
  <r>
    <s v="USR-101193"/>
    <d v="2025-01-29T00:00:00"/>
    <x v="1"/>
    <x v="1"/>
    <x v="1"/>
    <x v="4"/>
    <x v="2"/>
    <n v="0"/>
    <n v="0"/>
    <n v="0"/>
    <n v="0"/>
    <n v="0"/>
    <n v="0"/>
    <n v="0"/>
    <m/>
    <n v="39.1"/>
    <s v="Unique"/>
    <s v="Valid"/>
    <s v="Valid"/>
    <s v="Valid"/>
    <s v="Valid"/>
    <s v="Valid"/>
    <s v="Outlier"/>
  </r>
  <r>
    <s v="USR-101194"/>
    <d v="2025-01-11T00:00:00"/>
    <x v="1"/>
    <x v="0"/>
    <x v="1"/>
    <x v="4"/>
    <x v="0"/>
    <n v="0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1195"/>
    <d v="2025-04-08T00:00:00"/>
    <x v="1"/>
    <x v="2"/>
    <x v="0"/>
    <x v="2"/>
    <x v="2"/>
    <n v="1"/>
    <n v="0"/>
    <n v="0"/>
    <n v="0"/>
    <n v="0"/>
    <n v="1"/>
    <n v="0"/>
    <m/>
    <n v="65.900000000000006"/>
    <s v="Unique"/>
    <s v="Valid"/>
    <s v="Valid"/>
    <s v="Valid"/>
    <s v="Valid"/>
    <s v="Valid"/>
    <s v="Outlier"/>
  </r>
  <r>
    <s v="USR-101196"/>
    <d v="2025-02-22T00:00:00"/>
    <x v="1"/>
    <x v="0"/>
    <x v="3"/>
    <x v="4"/>
    <x v="1"/>
    <n v="1"/>
    <n v="0"/>
    <n v="0"/>
    <n v="0"/>
    <n v="0"/>
    <n v="1"/>
    <n v="0"/>
    <m/>
    <n v="34.200000000000003"/>
    <s v="Unique"/>
    <s v="Valid"/>
    <s v="Valid"/>
    <s v="Valid"/>
    <s v="Valid"/>
    <s v="Valid"/>
    <s v="Outlier"/>
  </r>
  <r>
    <s v="USR-101197"/>
    <d v="2025-03-23T00:00:00"/>
    <x v="1"/>
    <x v="3"/>
    <x v="1"/>
    <x v="1"/>
    <x v="1"/>
    <n v="0"/>
    <n v="0"/>
    <n v="0"/>
    <n v="0"/>
    <n v="0"/>
    <n v="0"/>
    <n v="0"/>
    <m/>
    <n v="47.2"/>
    <s v="Unique"/>
    <s v="Valid"/>
    <s v="Valid"/>
    <s v="Valid"/>
    <s v="Valid"/>
    <s v="Valid"/>
    <s v="Outlier"/>
  </r>
  <r>
    <s v="USR-101198"/>
    <d v="2025-05-23T00:00:00"/>
    <x v="1"/>
    <x v="3"/>
    <x v="2"/>
    <x v="2"/>
    <x v="1"/>
    <n v="1"/>
    <n v="0"/>
    <n v="0"/>
    <n v="0"/>
    <n v="0"/>
    <n v="1"/>
    <n v="0"/>
    <m/>
    <n v="55"/>
    <s v="Unique"/>
    <s v="Valid"/>
    <s v="Valid"/>
    <s v="Valid"/>
    <s v="Valid"/>
    <s v="Valid"/>
    <s v="Outlier"/>
  </r>
  <r>
    <s v="USR-101199"/>
    <d v="2025-04-27T00:00:00"/>
    <x v="1"/>
    <x v="1"/>
    <x v="1"/>
    <x v="3"/>
    <x v="0"/>
    <n v="1"/>
    <n v="1"/>
    <n v="1"/>
    <n v="0"/>
    <n v="0"/>
    <n v="0"/>
    <n v="0"/>
    <m/>
    <n v="76.400000000000006"/>
    <s v="Unique"/>
    <s v="Valid"/>
    <s v="Valid"/>
    <s v="Valid"/>
    <s v="Valid"/>
    <s v="Valid"/>
    <s v="Outlier"/>
  </r>
  <r>
    <s v="USR-101200"/>
    <d v="2025-05-26T00:00:00"/>
    <x v="1"/>
    <x v="0"/>
    <x v="1"/>
    <x v="3"/>
    <x v="1"/>
    <n v="1"/>
    <n v="0"/>
    <n v="0"/>
    <n v="0"/>
    <n v="0"/>
    <n v="0"/>
    <n v="0"/>
    <m/>
    <n v="70.8"/>
    <s v="Unique"/>
    <s v="Valid"/>
    <s v="Valid"/>
    <s v="Valid"/>
    <s v="Valid"/>
    <s v="Valid"/>
    <s v="Outlier"/>
  </r>
  <r>
    <s v="USR-101201"/>
    <d v="2025-03-06T00:00:00"/>
    <x v="1"/>
    <x v="2"/>
    <x v="1"/>
    <x v="2"/>
    <x v="0"/>
    <n v="1"/>
    <n v="1"/>
    <n v="0"/>
    <n v="0"/>
    <n v="0"/>
    <n v="1"/>
    <n v="0"/>
    <m/>
    <n v="58"/>
    <s v="Unique"/>
    <s v="Valid"/>
    <s v="Valid"/>
    <s v="Valid"/>
    <s v="Valid"/>
    <s v="Valid"/>
    <s v="Outlier"/>
  </r>
  <r>
    <s v="USR-101202"/>
    <d v="2025-04-03T00:00:00"/>
    <x v="1"/>
    <x v="1"/>
    <x v="1"/>
    <x v="1"/>
    <x v="0"/>
    <n v="1"/>
    <n v="1"/>
    <n v="1"/>
    <n v="0"/>
    <n v="0"/>
    <n v="1"/>
    <n v="0"/>
    <m/>
    <n v="70.8"/>
    <s v="Unique"/>
    <s v="Valid"/>
    <s v="Valid"/>
    <s v="Valid"/>
    <s v="Valid"/>
    <s v="Valid"/>
    <s v="Outlier"/>
  </r>
  <r>
    <s v="USR-101203"/>
    <d v="2025-02-01T00:00:00"/>
    <x v="1"/>
    <x v="2"/>
    <x v="0"/>
    <x v="2"/>
    <x v="1"/>
    <n v="1"/>
    <n v="0"/>
    <n v="0"/>
    <n v="0"/>
    <n v="0"/>
    <n v="3"/>
    <n v="0"/>
    <m/>
    <n v="60"/>
    <s v="Unique"/>
    <s v="Valid"/>
    <s v="Valid"/>
    <s v="Valid"/>
    <s v="Valid"/>
    <s v="Valid"/>
    <s v="Outlier"/>
  </r>
  <r>
    <s v="USR-101204"/>
    <d v="2025-05-01T00:00:00"/>
    <x v="1"/>
    <x v="1"/>
    <x v="1"/>
    <x v="3"/>
    <x v="2"/>
    <n v="1"/>
    <n v="1"/>
    <n v="1"/>
    <n v="0"/>
    <n v="0"/>
    <n v="3"/>
    <n v="0"/>
    <m/>
    <n v="58.1"/>
    <s v="Unique"/>
    <s v="Valid"/>
    <s v="Valid"/>
    <s v="Valid"/>
    <s v="Valid"/>
    <s v="Valid"/>
    <s v="Outlier"/>
  </r>
  <r>
    <s v="USR-101205"/>
    <d v="2025-04-13T00:00:00"/>
    <x v="1"/>
    <x v="0"/>
    <x v="1"/>
    <x v="4"/>
    <x v="2"/>
    <n v="0"/>
    <n v="0"/>
    <n v="0"/>
    <n v="0"/>
    <n v="0"/>
    <n v="0"/>
    <n v="0"/>
    <m/>
    <n v="59.7"/>
    <s v="Unique"/>
    <s v="Valid"/>
    <s v="Valid"/>
    <s v="Valid"/>
    <s v="Valid"/>
    <s v="Valid"/>
    <s v="Outlier"/>
  </r>
  <r>
    <s v="USR-101206"/>
    <d v="2025-01-25T00:00:00"/>
    <x v="1"/>
    <x v="2"/>
    <x v="1"/>
    <x v="4"/>
    <x v="1"/>
    <n v="0"/>
    <n v="0"/>
    <n v="0"/>
    <n v="0"/>
    <n v="0"/>
    <n v="0"/>
    <n v="0"/>
    <m/>
    <n v="47.7"/>
    <s v="Unique"/>
    <s v="Valid"/>
    <s v="Valid"/>
    <s v="Valid"/>
    <s v="Valid"/>
    <s v="Valid"/>
    <s v="Outlier"/>
  </r>
  <r>
    <s v="USR-101207"/>
    <d v="2025-03-17T00:00:00"/>
    <x v="1"/>
    <x v="0"/>
    <x v="1"/>
    <x v="1"/>
    <x v="1"/>
    <n v="0"/>
    <n v="0"/>
    <n v="0"/>
    <n v="0"/>
    <n v="0"/>
    <n v="0"/>
    <n v="0"/>
    <m/>
    <n v="59.1"/>
    <s v="Unique"/>
    <s v="Valid"/>
    <s v="Valid"/>
    <s v="Valid"/>
    <s v="Valid"/>
    <s v="Valid"/>
    <s v="Outlier"/>
  </r>
  <r>
    <s v="USR-101208"/>
    <d v="2025-02-21T00:00:00"/>
    <x v="1"/>
    <x v="1"/>
    <x v="0"/>
    <x v="4"/>
    <x v="0"/>
    <n v="1"/>
    <n v="0"/>
    <n v="0"/>
    <n v="0"/>
    <n v="0"/>
    <n v="1"/>
    <n v="0"/>
    <m/>
    <n v="68.7"/>
    <s v="Unique"/>
    <s v="Valid"/>
    <s v="Valid"/>
    <s v="Valid"/>
    <s v="Valid"/>
    <s v="Valid"/>
    <s v="Outlier"/>
  </r>
  <r>
    <s v="USR-101209"/>
    <d v="2025-04-08T00:00:00"/>
    <x v="1"/>
    <x v="2"/>
    <x v="2"/>
    <x v="1"/>
    <x v="0"/>
    <n v="0"/>
    <n v="0"/>
    <n v="0"/>
    <n v="0"/>
    <n v="0"/>
    <n v="0"/>
    <n v="0"/>
    <m/>
    <n v="34.700000000000003"/>
    <s v="Unique"/>
    <s v="Valid"/>
    <s v="Valid"/>
    <s v="Valid"/>
    <s v="Valid"/>
    <s v="Valid"/>
    <s v="Outlier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s v="Unique"/>
    <s v="Valid"/>
    <s v="Valid"/>
    <s v="Valid"/>
    <s v="Valid"/>
    <s v="Valid"/>
    <s v="Outlier"/>
  </r>
  <r>
    <s v="USR-101211"/>
    <d v="2025-05-29T00:00:00"/>
    <x v="1"/>
    <x v="3"/>
    <x v="1"/>
    <x v="1"/>
    <x v="1"/>
    <n v="1"/>
    <n v="1"/>
    <n v="0"/>
    <n v="0"/>
    <n v="0"/>
    <n v="0"/>
    <n v="0"/>
    <m/>
    <n v="56"/>
    <s v="Unique"/>
    <s v="Valid"/>
    <s v="Valid"/>
    <s v="Valid"/>
    <s v="Valid"/>
    <s v="Valid"/>
    <s v="Outlier"/>
  </r>
  <r>
    <s v="USR-101212"/>
    <d v="2025-05-30T00:00:00"/>
    <x v="1"/>
    <x v="0"/>
    <x v="1"/>
    <x v="0"/>
    <x v="0"/>
    <n v="1"/>
    <n v="0"/>
    <n v="0"/>
    <n v="0"/>
    <n v="0"/>
    <n v="1"/>
    <n v="0"/>
    <m/>
    <n v="65.8"/>
    <s v="Unique"/>
    <s v="Valid"/>
    <s v="Valid"/>
    <s v="Valid"/>
    <s v="Valid"/>
    <s v="Valid"/>
    <s v="Outlier"/>
  </r>
  <r>
    <s v="USR-101213"/>
    <d v="2025-01-24T00:00:00"/>
    <x v="1"/>
    <x v="0"/>
    <x v="0"/>
    <x v="1"/>
    <x v="2"/>
    <n v="0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1214"/>
    <d v="2025-05-12T00:00:00"/>
    <x v="1"/>
    <x v="3"/>
    <x v="1"/>
    <x v="1"/>
    <x v="0"/>
    <n v="1"/>
    <n v="1"/>
    <n v="0"/>
    <n v="0"/>
    <n v="0"/>
    <n v="0"/>
    <n v="0"/>
    <m/>
    <n v="64.099999999999994"/>
    <s v="Unique"/>
    <s v="Valid"/>
    <s v="Valid"/>
    <s v="Valid"/>
    <s v="Valid"/>
    <s v="Valid"/>
    <s v="Outlier"/>
  </r>
  <r>
    <s v="USR-101215"/>
    <d v="2025-03-28T00:00:00"/>
    <x v="1"/>
    <x v="3"/>
    <x v="1"/>
    <x v="1"/>
    <x v="0"/>
    <n v="1"/>
    <n v="1"/>
    <n v="1"/>
    <n v="0"/>
    <n v="0"/>
    <n v="0"/>
    <n v="0"/>
    <m/>
    <n v="71.599999999999994"/>
    <s v="Unique"/>
    <s v="Valid"/>
    <s v="Valid"/>
    <s v="Valid"/>
    <s v="Valid"/>
    <s v="Valid"/>
    <s v="Outlier"/>
  </r>
  <r>
    <s v="USR-101216"/>
    <d v="2025-04-14T00:00:00"/>
    <x v="1"/>
    <x v="0"/>
    <x v="1"/>
    <x v="3"/>
    <x v="0"/>
    <n v="1"/>
    <n v="0"/>
    <n v="0"/>
    <n v="0"/>
    <n v="0"/>
    <n v="0"/>
    <n v="0"/>
    <m/>
    <n v="78.400000000000006"/>
    <s v="Unique"/>
    <s v="Valid"/>
    <s v="Valid"/>
    <s v="Valid"/>
    <s v="Valid"/>
    <s v="Valid"/>
    <s v="Outlier"/>
  </r>
  <r>
    <s v="USR-101217"/>
    <d v="2025-01-28T00:00:00"/>
    <x v="1"/>
    <x v="2"/>
    <x v="2"/>
    <x v="3"/>
    <x v="0"/>
    <n v="0"/>
    <n v="0"/>
    <n v="0"/>
    <n v="0"/>
    <n v="0"/>
    <n v="0"/>
    <n v="0"/>
    <m/>
    <n v="49.3"/>
    <s v="Unique"/>
    <s v="Valid"/>
    <s v="Valid"/>
    <s v="Valid"/>
    <s v="Valid"/>
    <s v="Valid"/>
    <s v="Outlier"/>
  </r>
  <r>
    <s v="USR-101218"/>
    <d v="2025-05-21T00:00:00"/>
    <x v="1"/>
    <x v="0"/>
    <x v="1"/>
    <x v="1"/>
    <x v="0"/>
    <n v="0"/>
    <n v="0"/>
    <n v="0"/>
    <n v="0"/>
    <n v="0"/>
    <n v="0"/>
    <n v="0"/>
    <m/>
    <n v="52.8"/>
    <s v="Unique"/>
    <s v="Valid"/>
    <s v="Valid"/>
    <s v="Valid"/>
    <s v="Valid"/>
    <s v="Valid"/>
    <s v="Outlier"/>
  </r>
  <r>
    <s v="USR-101219"/>
    <d v="2025-05-11T00:00:00"/>
    <x v="1"/>
    <x v="1"/>
    <x v="0"/>
    <x v="1"/>
    <x v="1"/>
    <n v="0"/>
    <n v="0"/>
    <n v="0"/>
    <n v="0"/>
    <n v="0"/>
    <n v="0"/>
    <n v="0"/>
    <m/>
    <n v="58.5"/>
    <s v="Unique"/>
    <s v="Valid"/>
    <s v="Valid"/>
    <s v="Valid"/>
    <s v="Valid"/>
    <s v="Valid"/>
    <s v="Outlier"/>
  </r>
  <r>
    <s v="USR-101220"/>
    <d v="2025-02-02T00:00:00"/>
    <x v="1"/>
    <x v="3"/>
    <x v="1"/>
    <x v="2"/>
    <x v="1"/>
    <n v="1"/>
    <n v="0"/>
    <n v="0"/>
    <n v="0"/>
    <n v="0"/>
    <n v="0"/>
    <n v="0"/>
    <m/>
    <n v="55.9"/>
    <s v="Unique"/>
    <s v="Valid"/>
    <s v="Valid"/>
    <s v="Valid"/>
    <s v="Valid"/>
    <s v="Valid"/>
    <s v="Outlier"/>
  </r>
  <r>
    <s v="USR-101221"/>
    <d v="2025-02-26T00:00:00"/>
    <x v="1"/>
    <x v="0"/>
    <x v="1"/>
    <x v="4"/>
    <x v="1"/>
    <n v="1"/>
    <n v="1"/>
    <n v="1"/>
    <n v="1"/>
    <n v="351.43"/>
    <n v="1"/>
    <n v="0"/>
    <n v="6"/>
    <n v="74.900000000000006"/>
    <s v="Unique"/>
    <s v="Valid"/>
    <s v="Valid"/>
    <s v="Valid"/>
    <s v="Valid"/>
    <s v="Valid"/>
    <s v="Outlier"/>
  </r>
  <r>
    <s v="USR-101222"/>
    <d v="2025-02-27T00:00:00"/>
    <x v="1"/>
    <x v="3"/>
    <x v="0"/>
    <x v="3"/>
    <x v="1"/>
    <n v="1"/>
    <n v="1"/>
    <n v="1"/>
    <n v="1"/>
    <n v="352.42"/>
    <n v="0"/>
    <n v="0"/>
    <n v="4"/>
    <n v="58.5"/>
    <s v="Unique"/>
    <s v="Valid"/>
    <s v="Valid"/>
    <s v="Valid"/>
    <s v="Valid"/>
    <s v="Valid"/>
    <s v="Outlier"/>
  </r>
  <r>
    <s v="USR-101223"/>
    <d v="2025-03-09T00:00:00"/>
    <x v="1"/>
    <x v="1"/>
    <x v="1"/>
    <x v="1"/>
    <x v="1"/>
    <n v="0"/>
    <n v="0"/>
    <n v="0"/>
    <n v="0"/>
    <n v="0"/>
    <n v="0"/>
    <n v="0"/>
    <m/>
    <n v="63.5"/>
    <s v="Unique"/>
    <s v="Valid"/>
    <s v="Valid"/>
    <s v="Valid"/>
    <s v="Valid"/>
    <s v="Valid"/>
    <s v="Outlier"/>
  </r>
  <r>
    <s v="USR-101224"/>
    <d v="2025-02-07T00:00:00"/>
    <x v="1"/>
    <x v="0"/>
    <x v="1"/>
    <x v="2"/>
    <x v="0"/>
    <n v="1"/>
    <n v="0"/>
    <n v="0"/>
    <n v="0"/>
    <n v="0"/>
    <n v="1"/>
    <n v="0"/>
    <m/>
    <n v="64.8"/>
    <s v="Unique"/>
    <s v="Valid"/>
    <s v="Valid"/>
    <s v="Valid"/>
    <s v="Valid"/>
    <s v="Valid"/>
    <s v="Outlier"/>
  </r>
  <r>
    <s v="USR-101225"/>
    <d v="2025-01-31T00:00:00"/>
    <x v="1"/>
    <x v="1"/>
    <x v="1"/>
    <x v="4"/>
    <x v="1"/>
    <n v="0"/>
    <n v="0"/>
    <n v="0"/>
    <n v="0"/>
    <n v="0"/>
    <n v="0"/>
    <n v="0"/>
    <m/>
    <n v="63.3"/>
    <s v="Unique"/>
    <s v="Valid"/>
    <s v="Valid"/>
    <s v="Valid"/>
    <s v="Valid"/>
    <s v="Valid"/>
    <s v="Outlier"/>
  </r>
  <r>
    <s v="USR-101226"/>
    <d v="2025-02-14T00:00:00"/>
    <x v="1"/>
    <x v="0"/>
    <x v="2"/>
    <x v="2"/>
    <x v="0"/>
    <n v="1"/>
    <n v="1"/>
    <n v="1"/>
    <n v="1"/>
    <n v="1074.1600000000001"/>
    <n v="0"/>
    <n v="0"/>
    <n v="8"/>
    <n v="83.7"/>
    <s v="Unique"/>
    <s v="Valid"/>
    <s v="Valid"/>
    <s v="Valid"/>
    <s v="Valid"/>
    <s v="Valid"/>
    <s v="Outlier"/>
  </r>
  <r>
    <s v="USR-101227"/>
    <d v="2025-02-12T00:00:00"/>
    <x v="1"/>
    <x v="3"/>
    <x v="0"/>
    <x v="4"/>
    <x v="0"/>
    <n v="0"/>
    <n v="0"/>
    <n v="0"/>
    <n v="0"/>
    <n v="0"/>
    <n v="0"/>
    <n v="0"/>
    <m/>
    <n v="88.7"/>
    <s v="Unique"/>
    <s v="Valid"/>
    <s v="Valid"/>
    <s v="Valid"/>
    <s v="Valid"/>
    <s v="Valid"/>
    <s v="Outlier"/>
  </r>
  <r>
    <s v="USR-101228"/>
    <d v="2025-03-23T00:00:00"/>
    <x v="1"/>
    <x v="2"/>
    <x v="3"/>
    <x v="2"/>
    <x v="1"/>
    <n v="1"/>
    <n v="0"/>
    <n v="0"/>
    <n v="0"/>
    <n v="0"/>
    <n v="1"/>
    <n v="0"/>
    <m/>
    <n v="61.5"/>
    <s v="Unique"/>
    <s v="Valid"/>
    <s v="Valid"/>
    <s v="Valid"/>
    <s v="Valid"/>
    <s v="Valid"/>
    <s v="Outlier"/>
  </r>
  <r>
    <s v="USR-101229"/>
    <d v="2025-03-18T00:00:00"/>
    <x v="1"/>
    <x v="1"/>
    <x v="1"/>
    <x v="2"/>
    <x v="1"/>
    <n v="0"/>
    <n v="0"/>
    <n v="0"/>
    <n v="0"/>
    <n v="0"/>
    <n v="0"/>
    <n v="0"/>
    <m/>
    <n v="45.3"/>
    <s v="Unique"/>
    <s v="Valid"/>
    <s v="Valid"/>
    <s v="Valid"/>
    <s v="Valid"/>
    <s v="Valid"/>
    <s v="Outlier"/>
  </r>
  <r>
    <s v="USR-101230"/>
    <d v="2025-05-17T00:00:00"/>
    <x v="1"/>
    <x v="0"/>
    <x v="1"/>
    <x v="4"/>
    <x v="1"/>
    <n v="1"/>
    <n v="0"/>
    <n v="0"/>
    <n v="0"/>
    <n v="0"/>
    <n v="0"/>
    <n v="0"/>
    <m/>
    <n v="37.299999999999997"/>
    <s v="Unique"/>
    <s v="Valid"/>
    <s v="Valid"/>
    <s v="Valid"/>
    <s v="Valid"/>
    <s v="Valid"/>
    <s v="Outlier"/>
  </r>
  <r>
    <s v="USR-101231"/>
    <d v="2025-03-26T00:00:00"/>
    <x v="1"/>
    <x v="1"/>
    <x v="0"/>
    <x v="4"/>
    <x v="2"/>
    <n v="1"/>
    <n v="0"/>
    <n v="0"/>
    <n v="0"/>
    <n v="0"/>
    <n v="1"/>
    <n v="0"/>
    <m/>
    <n v="76.099999999999994"/>
    <s v="Unique"/>
    <s v="Valid"/>
    <s v="Valid"/>
    <s v="Valid"/>
    <s v="Valid"/>
    <s v="Valid"/>
    <s v="Outlier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s v="Unique"/>
    <s v="Valid"/>
    <s v="Valid"/>
    <s v="Valid"/>
    <s v="Valid"/>
    <s v="Valid"/>
    <s v="Outlier"/>
  </r>
  <r>
    <s v="USR-101233"/>
    <d v="2025-02-25T00:00:00"/>
    <x v="1"/>
    <x v="2"/>
    <x v="0"/>
    <x v="1"/>
    <x v="1"/>
    <n v="1"/>
    <n v="0"/>
    <n v="0"/>
    <n v="0"/>
    <n v="0"/>
    <n v="0"/>
    <n v="0"/>
    <m/>
    <n v="62.3"/>
    <s v="Unique"/>
    <s v="Valid"/>
    <s v="Valid"/>
    <s v="Valid"/>
    <s v="Valid"/>
    <s v="Valid"/>
    <s v="Outlier"/>
  </r>
  <r>
    <s v="USR-101234"/>
    <d v="2025-03-01T00:00:00"/>
    <x v="1"/>
    <x v="2"/>
    <x v="0"/>
    <x v="4"/>
    <x v="1"/>
    <n v="0"/>
    <n v="0"/>
    <n v="0"/>
    <n v="0"/>
    <n v="0"/>
    <n v="0"/>
    <n v="0"/>
    <m/>
    <n v="62.7"/>
    <s v="Unique"/>
    <s v="Valid"/>
    <s v="Valid"/>
    <s v="Valid"/>
    <s v="Valid"/>
    <s v="Valid"/>
    <s v="Outlier"/>
  </r>
  <r>
    <s v="USR-101235"/>
    <d v="2025-05-27T00:00:00"/>
    <x v="1"/>
    <x v="0"/>
    <x v="1"/>
    <x v="2"/>
    <x v="0"/>
    <n v="0"/>
    <n v="0"/>
    <n v="0"/>
    <n v="0"/>
    <n v="0"/>
    <n v="0"/>
    <n v="0"/>
    <m/>
    <n v="82.4"/>
    <s v="Unique"/>
    <s v="Valid"/>
    <s v="Valid"/>
    <s v="Valid"/>
    <s v="Valid"/>
    <s v="Valid"/>
    <s v="Outlier"/>
  </r>
  <r>
    <s v="USR-101236"/>
    <d v="2025-02-05T00:00:00"/>
    <x v="1"/>
    <x v="1"/>
    <x v="1"/>
    <x v="5"/>
    <x v="2"/>
    <n v="1"/>
    <n v="0"/>
    <n v="0"/>
    <n v="0"/>
    <n v="0"/>
    <n v="0"/>
    <n v="0"/>
    <m/>
    <n v="78.900000000000006"/>
    <s v="Unique"/>
    <s v="Valid"/>
    <s v="Valid"/>
    <s v="Valid"/>
    <s v="Valid"/>
    <s v="Valid"/>
    <s v="Outlier"/>
  </r>
  <r>
    <s v="USR-101237"/>
    <d v="2025-01-25T00:00:00"/>
    <x v="1"/>
    <x v="1"/>
    <x v="0"/>
    <x v="0"/>
    <x v="1"/>
    <n v="1"/>
    <n v="1"/>
    <n v="1"/>
    <n v="1"/>
    <n v="618.91"/>
    <n v="0"/>
    <n v="0"/>
    <n v="4"/>
    <n v="67.8"/>
    <s v="Unique"/>
    <s v="Valid"/>
    <s v="Valid"/>
    <s v="Valid"/>
    <s v="Valid"/>
    <s v="Valid"/>
    <s v="Outlier"/>
  </r>
  <r>
    <s v="USR-101238"/>
    <d v="2025-04-10T00:00:00"/>
    <x v="1"/>
    <x v="2"/>
    <x v="1"/>
    <x v="1"/>
    <x v="2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239"/>
    <d v="2025-01-10T00:00:00"/>
    <x v="1"/>
    <x v="2"/>
    <x v="1"/>
    <x v="1"/>
    <x v="2"/>
    <n v="1"/>
    <n v="0"/>
    <n v="0"/>
    <n v="0"/>
    <n v="0"/>
    <n v="0"/>
    <n v="0"/>
    <m/>
    <n v="67.7"/>
    <s v="Unique"/>
    <s v="Valid"/>
    <s v="Valid"/>
    <s v="Valid"/>
    <s v="Valid"/>
    <s v="Valid"/>
    <s v="Outlier"/>
  </r>
  <r>
    <s v="USR-101240"/>
    <d v="2025-02-23T00:00:00"/>
    <x v="1"/>
    <x v="2"/>
    <x v="1"/>
    <x v="5"/>
    <x v="1"/>
    <n v="0"/>
    <n v="0"/>
    <n v="0"/>
    <n v="0"/>
    <n v="0"/>
    <n v="0"/>
    <n v="0"/>
    <m/>
    <n v="88"/>
    <s v="Unique"/>
    <s v="Valid"/>
    <s v="Valid"/>
    <s v="Valid"/>
    <s v="Valid"/>
    <s v="Valid"/>
    <s v="Outlier"/>
  </r>
  <r>
    <s v="USR-101241"/>
    <d v="2025-05-23T00:00:00"/>
    <x v="1"/>
    <x v="1"/>
    <x v="0"/>
    <x v="1"/>
    <x v="0"/>
    <n v="1"/>
    <n v="1"/>
    <n v="0"/>
    <n v="0"/>
    <n v="0"/>
    <n v="0"/>
    <n v="0"/>
    <m/>
    <n v="80.099999999999994"/>
    <s v="Unique"/>
    <s v="Valid"/>
    <s v="Valid"/>
    <s v="Valid"/>
    <s v="Valid"/>
    <s v="Valid"/>
    <s v="Outlier"/>
  </r>
  <r>
    <s v="USR-101242"/>
    <d v="2025-03-08T00:00:00"/>
    <x v="1"/>
    <x v="0"/>
    <x v="2"/>
    <x v="0"/>
    <x v="0"/>
    <n v="0"/>
    <n v="0"/>
    <n v="0"/>
    <n v="0"/>
    <n v="0"/>
    <n v="1"/>
    <n v="0"/>
    <m/>
    <n v="48.2"/>
    <s v="Unique"/>
    <s v="Valid"/>
    <s v="Valid"/>
    <s v="Valid"/>
    <s v="Valid"/>
    <s v="Valid"/>
    <s v="Outlier"/>
  </r>
  <r>
    <s v="USR-101243"/>
    <d v="2025-05-21T00:00:00"/>
    <x v="1"/>
    <x v="2"/>
    <x v="1"/>
    <x v="1"/>
    <x v="0"/>
    <n v="1"/>
    <n v="0"/>
    <n v="0"/>
    <n v="0"/>
    <n v="0"/>
    <n v="0"/>
    <n v="0"/>
    <m/>
    <n v="52.7"/>
    <s v="Unique"/>
    <s v="Valid"/>
    <s v="Valid"/>
    <s v="Valid"/>
    <s v="Valid"/>
    <s v="Valid"/>
    <s v="Outlier"/>
  </r>
  <r>
    <s v="USR-101244"/>
    <d v="2025-04-22T00:00:00"/>
    <x v="1"/>
    <x v="0"/>
    <x v="1"/>
    <x v="0"/>
    <x v="0"/>
    <n v="1"/>
    <n v="1"/>
    <n v="0"/>
    <n v="0"/>
    <n v="0"/>
    <n v="0"/>
    <n v="0"/>
    <m/>
    <n v="59.9"/>
    <s v="Unique"/>
    <s v="Valid"/>
    <s v="Valid"/>
    <s v="Valid"/>
    <s v="Valid"/>
    <s v="Valid"/>
    <s v="Outlier"/>
  </r>
  <r>
    <s v="USR-101245"/>
    <d v="2025-04-16T00:00:00"/>
    <x v="1"/>
    <x v="0"/>
    <x v="1"/>
    <x v="0"/>
    <x v="2"/>
    <n v="1"/>
    <n v="0"/>
    <n v="0"/>
    <n v="0"/>
    <n v="0"/>
    <n v="0"/>
    <n v="0"/>
    <m/>
    <n v="49.5"/>
    <s v="Unique"/>
    <s v="Valid"/>
    <s v="Valid"/>
    <s v="Valid"/>
    <s v="Valid"/>
    <s v="Valid"/>
    <s v="Outlier"/>
  </r>
  <r>
    <s v="USR-101246"/>
    <d v="2025-05-08T00:00:00"/>
    <x v="1"/>
    <x v="0"/>
    <x v="2"/>
    <x v="1"/>
    <x v="1"/>
    <n v="1"/>
    <n v="0"/>
    <n v="0"/>
    <n v="0"/>
    <n v="0"/>
    <n v="0"/>
    <n v="0"/>
    <m/>
    <n v="41.5"/>
    <s v="Unique"/>
    <s v="Valid"/>
    <s v="Valid"/>
    <s v="Valid"/>
    <s v="Valid"/>
    <s v="Valid"/>
    <s v="Outlier"/>
  </r>
  <r>
    <s v="USR-101247"/>
    <d v="2025-05-22T00:00:00"/>
    <x v="1"/>
    <x v="0"/>
    <x v="1"/>
    <x v="2"/>
    <x v="0"/>
    <n v="1"/>
    <n v="0"/>
    <n v="0"/>
    <n v="0"/>
    <n v="0"/>
    <n v="0"/>
    <n v="0"/>
    <m/>
    <n v="71.2"/>
    <s v="Unique"/>
    <s v="Valid"/>
    <s v="Valid"/>
    <s v="Valid"/>
    <s v="Valid"/>
    <s v="Valid"/>
    <s v="Outlier"/>
  </r>
  <r>
    <s v="USR-101248"/>
    <d v="2025-03-21T00:00:00"/>
    <x v="1"/>
    <x v="0"/>
    <x v="1"/>
    <x v="3"/>
    <x v="0"/>
    <n v="1"/>
    <n v="1"/>
    <n v="1"/>
    <n v="0"/>
    <n v="0"/>
    <n v="0"/>
    <n v="0"/>
    <m/>
    <n v="65.8"/>
    <s v="Unique"/>
    <s v="Valid"/>
    <s v="Valid"/>
    <s v="Valid"/>
    <s v="Valid"/>
    <s v="Valid"/>
    <s v="Outlier"/>
  </r>
  <r>
    <s v="USR-101249"/>
    <d v="2025-03-22T00:00:00"/>
    <x v="1"/>
    <x v="2"/>
    <x v="1"/>
    <x v="1"/>
    <x v="0"/>
    <n v="1"/>
    <n v="0"/>
    <n v="0"/>
    <n v="0"/>
    <n v="0"/>
    <n v="1"/>
    <n v="0"/>
    <m/>
    <n v="55.1"/>
    <s v="Unique"/>
    <s v="Valid"/>
    <s v="Valid"/>
    <s v="Valid"/>
    <s v="Valid"/>
    <s v="Valid"/>
    <s v="Outlier"/>
  </r>
  <r>
    <s v="USR-101250"/>
    <d v="2025-01-10T00:00:00"/>
    <x v="1"/>
    <x v="1"/>
    <x v="0"/>
    <x v="4"/>
    <x v="1"/>
    <n v="1"/>
    <n v="0"/>
    <n v="0"/>
    <n v="0"/>
    <n v="0"/>
    <n v="0"/>
    <n v="0"/>
    <m/>
    <n v="54.6"/>
    <s v="Unique"/>
    <s v="Valid"/>
    <s v="Valid"/>
    <s v="Valid"/>
    <s v="Valid"/>
    <s v="Valid"/>
    <s v="Outlier"/>
  </r>
  <r>
    <s v="USR-101251"/>
    <d v="2025-02-01T00:00:00"/>
    <x v="1"/>
    <x v="2"/>
    <x v="1"/>
    <x v="1"/>
    <x v="0"/>
    <n v="1"/>
    <n v="1"/>
    <n v="1"/>
    <n v="1"/>
    <n v="923.67"/>
    <n v="0"/>
    <n v="0"/>
    <n v="4"/>
    <n v="81.900000000000006"/>
    <s v="Unique"/>
    <s v="Valid"/>
    <s v="Valid"/>
    <s v="Valid"/>
    <s v="Valid"/>
    <s v="Valid"/>
    <s v="Outlier"/>
  </r>
  <r>
    <s v="USR-101252"/>
    <d v="2025-03-31T00:00:00"/>
    <x v="1"/>
    <x v="3"/>
    <x v="1"/>
    <x v="2"/>
    <x v="0"/>
    <n v="1"/>
    <n v="1"/>
    <n v="0"/>
    <n v="0"/>
    <n v="0"/>
    <n v="3"/>
    <n v="0"/>
    <m/>
    <n v="63.2"/>
    <s v="Unique"/>
    <s v="Valid"/>
    <s v="Valid"/>
    <s v="Valid"/>
    <s v="Valid"/>
    <s v="Valid"/>
    <s v="Outlier"/>
  </r>
  <r>
    <s v="USR-101253"/>
    <d v="2025-04-25T00:00:00"/>
    <x v="1"/>
    <x v="0"/>
    <x v="1"/>
    <x v="2"/>
    <x v="1"/>
    <n v="1"/>
    <n v="0"/>
    <n v="0"/>
    <n v="0"/>
    <n v="0"/>
    <n v="0"/>
    <n v="0"/>
    <m/>
    <n v="55.4"/>
    <s v="Unique"/>
    <s v="Valid"/>
    <s v="Valid"/>
    <s v="Valid"/>
    <s v="Valid"/>
    <s v="Valid"/>
    <s v="Outlier"/>
  </r>
  <r>
    <s v="USR-101254"/>
    <d v="2025-05-02T00:00:00"/>
    <x v="1"/>
    <x v="1"/>
    <x v="1"/>
    <x v="4"/>
    <x v="0"/>
    <n v="0"/>
    <n v="0"/>
    <n v="0"/>
    <n v="0"/>
    <n v="0"/>
    <n v="0"/>
    <n v="0"/>
    <m/>
    <n v="87.5"/>
    <s v="Unique"/>
    <s v="Valid"/>
    <s v="Valid"/>
    <s v="Valid"/>
    <s v="Valid"/>
    <s v="Valid"/>
    <s v="Outlier"/>
  </r>
  <r>
    <s v="USR-101255"/>
    <d v="2025-03-08T00:00:00"/>
    <x v="1"/>
    <x v="3"/>
    <x v="0"/>
    <x v="4"/>
    <x v="0"/>
    <n v="1"/>
    <n v="0"/>
    <n v="0"/>
    <n v="0"/>
    <n v="0"/>
    <n v="0"/>
    <n v="0"/>
    <m/>
    <n v="48.5"/>
    <s v="Unique"/>
    <s v="Valid"/>
    <s v="Valid"/>
    <s v="Valid"/>
    <s v="Valid"/>
    <s v="Valid"/>
    <s v="Outlier"/>
  </r>
  <r>
    <s v="USR-101256"/>
    <d v="2025-01-27T00:00:00"/>
    <x v="1"/>
    <x v="2"/>
    <x v="0"/>
    <x v="5"/>
    <x v="1"/>
    <n v="1"/>
    <n v="1"/>
    <n v="1"/>
    <n v="1"/>
    <n v="420.27"/>
    <n v="0"/>
    <n v="0"/>
    <n v="6"/>
    <n v="58.4"/>
    <s v="Unique"/>
    <s v="Valid"/>
    <s v="Valid"/>
    <s v="Valid"/>
    <s v="Valid"/>
    <s v="Valid"/>
    <s v="Outlier"/>
  </r>
  <r>
    <s v="USR-101257"/>
    <d v="2025-04-27T00:00:00"/>
    <x v="1"/>
    <x v="1"/>
    <x v="1"/>
    <x v="2"/>
    <x v="1"/>
    <n v="0"/>
    <n v="0"/>
    <n v="0"/>
    <n v="0"/>
    <n v="0"/>
    <n v="0"/>
    <n v="0"/>
    <m/>
    <n v="59.5"/>
    <s v="Unique"/>
    <s v="Valid"/>
    <s v="Valid"/>
    <s v="Valid"/>
    <s v="Valid"/>
    <s v="Valid"/>
    <s v="Outlier"/>
  </r>
  <r>
    <s v="USR-101258"/>
    <d v="2025-01-16T00:00:00"/>
    <x v="1"/>
    <x v="1"/>
    <x v="0"/>
    <x v="2"/>
    <x v="0"/>
    <n v="1"/>
    <n v="0"/>
    <n v="0"/>
    <n v="0"/>
    <n v="0"/>
    <n v="0"/>
    <n v="0"/>
    <m/>
    <n v="93.2"/>
    <s v="Unique"/>
    <s v="Valid"/>
    <s v="Valid"/>
    <s v="Valid"/>
    <s v="Valid"/>
    <s v="Valid"/>
    <s v="Outlier"/>
  </r>
  <r>
    <s v="USR-101259"/>
    <d v="2025-01-18T00:00:00"/>
    <x v="1"/>
    <x v="1"/>
    <x v="0"/>
    <x v="2"/>
    <x v="0"/>
    <n v="1"/>
    <n v="0"/>
    <n v="0"/>
    <n v="0"/>
    <n v="0"/>
    <n v="0"/>
    <n v="0"/>
    <m/>
    <n v="59"/>
    <s v="Unique"/>
    <s v="Valid"/>
    <s v="Valid"/>
    <s v="Valid"/>
    <s v="Valid"/>
    <s v="Valid"/>
    <s v="Outlier"/>
  </r>
  <r>
    <s v="USR-101260"/>
    <d v="2025-03-21T00:00:00"/>
    <x v="1"/>
    <x v="0"/>
    <x v="1"/>
    <x v="1"/>
    <x v="1"/>
    <n v="1"/>
    <n v="0"/>
    <n v="0"/>
    <n v="0"/>
    <n v="0"/>
    <n v="0"/>
    <n v="0"/>
    <m/>
    <n v="37"/>
    <s v="Unique"/>
    <s v="Valid"/>
    <s v="Valid"/>
    <s v="Valid"/>
    <s v="Valid"/>
    <s v="Valid"/>
    <s v="Outlier"/>
  </r>
  <r>
    <s v="USR-101261"/>
    <d v="2025-04-02T00:00:00"/>
    <x v="1"/>
    <x v="0"/>
    <x v="0"/>
    <x v="2"/>
    <x v="1"/>
    <n v="1"/>
    <n v="0"/>
    <n v="0"/>
    <n v="0"/>
    <n v="0"/>
    <n v="0"/>
    <n v="0"/>
    <m/>
    <n v="47.5"/>
    <s v="Unique"/>
    <s v="Valid"/>
    <s v="Valid"/>
    <s v="Valid"/>
    <s v="Valid"/>
    <s v="Valid"/>
    <s v="Outlier"/>
  </r>
  <r>
    <s v="USR-101262"/>
    <d v="2025-02-16T00:00:00"/>
    <x v="1"/>
    <x v="1"/>
    <x v="0"/>
    <x v="1"/>
    <x v="1"/>
    <n v="1"/>
    <n v="1"/>
    <n v="1"/>
    <n v="0"/>
    <n v="0"/>
    <n v="0"/>
    <n v="0"/>
    <m/>
    <n v="78.7"/>
    <s v="Unique"/>
    <s v="Valid"/>
    <s v="Valid"/>
    <s v="Valid"/>
    <s v="Valid"/>
    <s v="Valid"/>
    <s v="Outlier"/>
  </r>
  <r>
    <s v="USR-101263"/>
    <d v="2025-02-18T00:00:00"/>
    <x v="1"/>
    <x v="0"/>
    <x v="1"/>
    <x v="4"/>
    <x v="1"/>
    <n v="1"/>
    <n v="0"/>
    <n v="0"/>
    <n v="0"/>
    <n v="0"/>
    <n v="0"/>
    <n v="0"/>
    <m/>
    <n v="49.6"/>
    <s v="Unique"/>
    <s v="Valid"/>
    <s v="Valid"/>
    <s v="Valid"/>
    <s v="Valid"/>
    <s v="Valid"/>
    <s v="Outlier"/>
  </r>
  <r>
    <s v="USR-101264"/>
    <d v="2025-01-09T00:00:00"/>
    <x v="1"/>
    <x v="2"/>
    <x v="1"/>
    <x v="1"/>
    <x v="1"/>
    <n v="1"/>
    <n v="0"/>
    <n v="0"/>
    <n v="0"/>
    <n v="0"/>
    <n v="0"/>
    <n v="0"/>
    <m/>
    <n v="58"/>
    <s v="Unique"/>
    <s v="Valid"/>
    <s v="Valid"/>
    <s v="Valid"/>
    <s v="Valid"/>
    <s v="Valid"/>
    <s v="Outlier"/>
  </r>
  <r>
    <s v="USR-101265"/>
    <d v="2025-02-18T00:00:00"/>
    <x v="1"/>
    <x v="0"/>
    <x v="0"/>
    <x v="2"/>
    <x v="1"/>
    <n v="1"/>
    <n v="0"/>
    <n v="0"/>
    <n v="0"/>
    <n v="0"/>
    <n v="1"/>
    <n v="0"/>
    <m/>
    <n v="54.4"/>
    <s v="Unique"/>
    <s v="Valid"/>
    <s v="Valid"/>
    <s v="Valid"/>
    <s v="Valid"/>
    <s v="Valid"/>
    <s v="Outlier"/>
  </r>
  <r>
    <s v="USR-101266"/>
    <d v="2025-01-10T00:00:00"/>
    <x v="1"/>
    <x v="2"/>
    <x v="1"/>
    <x v="3"/>
    <x v="1"/>
    <n v="0"/>
    <n v="0"/>
    <n v="0"/>
    <n v="0"/>
    <n v="0"/>
    <n v="0"/>
    <n v="0"/>
    <m/>
    <n v="33.700000000000003"/>
    <s v="Unique"/>
    <s v="Valid"/>
    <s v="Valid"/>
    <s v="Valid"/>
    <s v="Valid"/>
    <s v="Valid"/>
    <s v="Outlier"/>
  </r>
  <r>
    <s v="USR-101267"/>
    <d v="2025-03-08T00:00:00"/>
    <x v="1"/>
    <x v="1"/>
    <x v="1"/>
    <x v="0"/>
    <x v="1"/>
    <n v="1"/>
    <n v="0"/>
    <n v="0"/>
    <n v="0"/>
    <n v="0"/>
    <n v="0"/>
    <n v="0"/>
    <m/>
    <n v="72.7"/>
    <s v="Unique"/>
    <s v="Valid"/>
    <s v="Valid"/>
    <s v="Valid"/>
    <s v="Valid"/>
    <s v="Valid"/>
    <s v="Outlier"/>
  </r>
  <r>
    <s v="USR-101268"/>
    <d v="2025-04-16T00:00:00"/>
    <x v="1"/>
    <x v="2"/>
    <x v="0"/>
    <x v="2"/>
    <x v="0"/>
    <n v="0"/>
    <n v="0"/>
    <n v="0"/>
    <n v="0"/>
    <n v="0"/>
    <n v="0"/>
    <n v="0"/>
    <m/>
    <n v="64.7"/>
    <s v="Unique"/>
    <s v="Valid"/>
    <s v="Valid"/>
    <s v="Valid"/>
    <s v="Valid"/>
    <s v="Valid"/>
    <s v="Outlier"/>
  </r>
  <r>
    <s v="USR-101269"/>
    <d v="2025-02-19T00:00:00"/>
    <x v="1"/>
    <x v="1"/>
    <x v="0"/>
    <x v="2"/>
    <x v="2"/>
    <n v="0"/>
    <n v="0"/>
    <n v="0"/>
    <n v="0"/>
    <n v="0"/>
    <n v="1"/>
    <n v="0"/>
    <m/>
    <n v="48.6"/>
    <s v="Unique"/>
    <s v="Valid"/>
    <s v="Valid"/>
    <s v="Valid"/>
    <s v="Valid"/>
    <s v="Valid"/>
    <s v="Outlier"/>
  </r>
  <r>
    <s v="USR-101270"/>
    <d v="2025-03-16T00:00:00"/>
    <x v="1"/>
    <x v="2"/>
    <x v="0"/>
    <x v="4"/>
    <x v="1"/>
    <n v="1"/>
    <n v="1"/>
    <n v="0"/>
    <n v="0"/>
    <n v="0"/>
    <n v="0"/>
    <n v="0"/>
    <m/>
    <n v="66.2"/>
    <s v="Unique"/>
    <s v="Valid"/>
    <s v="Valid"/>
    <s v="Valid"/>
    <s v="Valid"/>
    <s v="Valid"/>
    <s v="Outlier"/>
  </r>
  <r>
    <s v="USR-101271"/>
    <d v="2025-02-03T00:00:00"/>
    <x v="1"/>
    <x v="1"/>
    <x v="3"/>
    <x v="3"/>
    <x v="0"/>
    <n v="1"/>
    <n v="0"/>
    <n v="0"/>
    <n v="0"/>
    <n v="0"/>
    <n v="1"/>
    <n v="0"/>
    <m/>
    <n v="60.7"/>
    <s v="Unique"/>
    <s v="Valid"/>
    <s v="Valid"/>
    <s v="Valid"/>
    <s v="Valid"/>
    <s v="Valid"/>
    <s v="Outlier"/>
  </r>
  <r>
    <s v="USR-101272"/>
    <d v="2025-03-12T00:00:00"/>
    <x v="1"/>
    <x v="1"/>
    <x v="1"/>
    <x v="2"/>
    <x v="0"/>
    <n v="1"/>
    <n v="0"/>
    <n v="0"/>
    <n v="0"/>
    <n v="0"/>
    <n v="0"/>
    <n v="0"/>
    <m/>
    <n v="36.5"/>
    <s v="Unique"/>
    <s v="Valid"/>
    <s v="Valid"/>
    <s v="Valid"/>
    <s v="Valid"/>
    <s v="Valid"/>
    <s v="Outlier"/>
  </r>
  <r>
    <s v="USR-101273"/>
    <d v="2025-05-09T00:00:00"/>
    <x v="1"/>
    <x v="1"/>
    <x v="1"/>
    <x v="4"/>
    <x v="1"/>
    <n v="1"/>
    <n v="1"/>
    <n v="1"/>
    <n v="0"/>
    <n v="0"/>
    <n v="3"/>
    <n v="0"/>
    <m/>
    <n v="69.7"/>
    <s v="Unique"/>
    <s v="Valid"/>
    <s v="Valid"/>
    <s v="Valid"/>
    <s v="Valid"/>
    <s v="Valid"/>
    <s v="Outlier"/>
  </r>
  <r>
    <s v="USR-101274"/>
    <d v="2025-01-19T00:00:00"/>
    <x v="1"/>
    <x v="3"/>
    <x v="0"/>
    <x v="4"/>
    <x v="2"/>
    <n v="1"/>
    <n v="0"/>
    <n v="0"/>
    <n v="0"/>
    <n v="0"/>
    <n v="0"/>
    <n v="0"/>
    <m/>
    <n v="81.8"/>
    <s v="Unique"/>
    <s v="Valid"/>
    <s v="Valid"/>
    <s v="Valid"/>
    <s v="Valid"/>
    <s v="Valid"/>
    <s v="Outlier"/>
  </r>
  <r>
    <s v="USR-101275"/>
    <d v="2025-01-24T00:00:00"/>
    <x v="1"/>
    <x v="1"/>
    <x v="1"/>
    <x v="3"/>
    <x v="1"/>
    <n v="1"/>
    <n v="1"/>
    <n v="1"/>
    <n v="0"/>
    <n v="0"/>
    <n v="1"/>
    <n v="0"/>
    <m/>
    <n v="78.3"/>
    <s v="Unique"/>
    <s v="Valid"/>
    <s v="Valid"/>
    <s v="Valid"/>
    <s v="Valid"/>
    <s v="Valid"/>
    <s v="Outlier"/>
  </r>
  <r>
    <s v="USR-101276"/>
    <d v="2025-03-03T00:00:00"/>
    <x v="1"/>
    <x v="2"/>
    <x v="1"/>
    <x v="3"/>
    <x v="1"/>
    <n v="1"/>
    <n v="1"/>
    <n v="0"/>
    <n v="0"/>
    <n v="0"/>
    <n v="0"/>
    <n v="0"/>
    <m/>
    <n v="79.400000000000006"/>
    <s v="Unique"/>
    <s v="Valid"/>
    <s v="Valid"/>
    <s v="Valid"/>
    <s v="Valid"/>
    <s v="Valid"/>
    <s v="Outlier"/>
  </r>
  <r>
    <s v="USR-101277"/>
    <d v="2025-05-27T00:00:00"/>
    <x v="1"/>
    <x v="0"/>
    <x v="0"/>
    <x v="3"/>
    <x v="1"/>
    <n v="1"/>
    <n v="1"/>
    <n v="1"/>
    <n v="0"/>
    <n v="0"/>
    <n v="0"/>
    <n v="0"/>
    <m/>
    <n v="54.9"/>
    <s v="Unique"/>
    <s v="Valid"/>
    <s v="Valid"/>
    <s v="Valid"/>
    <s v="Valid"/>
    <s v="Valid"/>
    <s v="Outlier"/>
  </r>
  <r>
    <s v="USR-101278"/>
    <d v="2025-04-23T00:00:00"/>
    <x v="1"/>
    <x v="1"/>
    <x v="0"/>
    <x v="1"/>
    <x v="0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1279"/>
    <d v="2025-02-10T00:00:00"/>
    <x v="1"/>
    <x v="2"/>
    <x v="0"/>
    <x v="4"/>
    <x v="1"/>
    <n v="0"/>
    <n v="0"/>
    <n v="0"/>
    <n v="0"/>
    <n v="0"/>
    <n v="0"/>
    <n v="0"/>
    <m/>
    <n v="28.7"/>
    <s v="Unique"/>
    <s v="Valid"/>
    <s v="Valid"/>
    <s v="Valid"/>
    <s v="Valid"/>
    <s v="Valid"/>
    <s v="Outlier"/>
  </r>
  <r>
    <s v="USR-101280"/>
    <d v="2025-02-11T00:00:00"/>
    <x v="1"/>
    <x v="0"/>
    <x v="1"/>
    <x v="1"/>
    <x v="1"/>
    <n v="0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281"/>
    <d v="2025-01-21T00:00:00"/>
    <x v="1"/>
    <x v="2"/>
    <x v="0"/>
    <x v="2"/>
    <x v="1"/>
    <n v="1"/>
    <n v="1"/>
    <n v="1"/>
    <n v="0"/>
    <n v="0"/>
    <n v="0"/>
    <n v="0"/>
    <m/>
    <n v="43.5"/>
    <s v="Unique"/>
    <s v="Valid"/>
    <s v="Valid"/>
    <s v="Valid"/>
    <s v="Valid"/>
    <s v="Valid"/>
    <s v="Outlier"/>
  </r>
  <r>
    <s v="USR-101282"/>
    <d v="2025-02-02T00:00:00"/>
    <x v="1"/>
    <x v="1"/>
    <x v="0"/>
    <x v="4"/>
    <x v="1"/>
    <n v="1"/>
    <n v="1"/>
    <n v="0"/>
    <n v="0"/>
    <n v="0"/>
    <n v="0"/>
    <n v="0"/>
    <m/>
    <n v="62.6"/>
    <s v="Unique"/>
    <s v="Valid"/>
    <s v="Valid"/>
    <s v="Valid"/>
    <s v="Valid"/>
    <s v="Valid"/>
    <s v="Outlier"/>
  </r>
  <r>
    <s v="USR-101283"/>
    <d v="2025-02-02T00:00:00"/>
    <x v="1"/>
    <x v="1"/>
    <x v="1"/>
    <x v="1"/>
    <x v="1"/>
    <n v="0"/>
    <n v="0"/>
    <n v="0"/>
    <n v="0"/>
    <n v="0"/>
    <n v="1"/>
    <n v="0"/>
    <m/>
    <n v="54.1"/>
    <s v="Unique"/>
    <s v="Valid"/>
    <s v="Valid"/>
    <s v="Valid"/>
    <s v="Valid"/>
    <s v="Valid"/>
    <s v="Outlier"/>
  </r>
  <r>
    <s v="USR-101284"/>
    <d v="2025-02-26T00:00:00"/>
    <x v="1"/>
    <x v="1"/>
    <x v="2"/>
    <x v="4"/>
    <x v="1"/>
    <n v="1"/>
    <n v="1"/>
    <n v="1"/>
    <n v="0"/>
    <n v="0"/>
    <n v="0"/>
    <n v="0"/>
    <m/>
    <n v="80.099999999999994"/>
    <s v="Unique"/>
    <s v="Valid"/>
    <s v="Valid"/>
    <s v="Valid"/>
    <s v="Valid"/>
    <s v="Valid"/>
    <s v="Outlier"/>
  </r>
  <r>
    <s v="USR-101285"/>
    <d v="2025-04-22T00:00:00"/>
    <x v="1"/>
    <x v="0"/>
    <x v="1"/>
    <x v="4"/>
    <x v="2"/>
    <n v="1"/>
    <n v="0"/>
    <n v="0"/>
    <n v="0"/>
    <n v="0"/>
    <n v="0"/>
    <n v="0"/>
    <m/>
    <n v="69.5"/>
    <s v="Unique"/>
    <s v="Valid"/>
    <s v="Valid"/>
    <s v="Valid"/>
    <s v="Valid"/>
    <s v="Valid"/>
    <s v="Outlier"/>
  </r>
  <r>
    <s v="USR-101286"/>
    <d v="2025-03-11T00:00:00"/>
    <x v="1"/>
    <x v="0"/>
    <x v="0"/>
    <x v="1"/>
    <x v="0"/>
    <n v="0"/>
    <n v="0"/>
    <n v="0"/>
    <n v="0"/>
    <n v="0"/>
    <n v="2"/>
    <n v="0"/>
    <m/>
    <n v="46.6"/>
    <s v="Unique"/>
    <s v="Valid"/>
    <s v="Valid"/>
    <s v="Valid"/>
    <s v="Valid"/>
    <s v="Valid"/>
    <s v="Outlier"/>
  </r>
  <r>
    <s v="USR-101287"/>
    <d v="2025-05-08T00:00:00"/>
    <x v="1"/>
    <x v="3"/>
    <x v="1"/>
    <x v="1"/>
    <x v="2"/>
    <n v="1"/>
    <n v="0"/>
    <n v="0"/>
    <n v="0"/>
    <n v="0"/>
    <n v="1"/>
    <n v="0"/>
    <m/>
    <n v="54.9"/>
    <s v="Unique"/>
    <s v="Valid"/>
    <s v="Valid"/>
    <s v="Valid"/>
    <s v="Valid"/>
    <s v="Valid"/>
    <s v="Outlier"/>
  </r>
  <r>
    <s v="USR-101288"/>
    <d v="2025-03-10T00:00:00"/>
    <x v="1"/>
    <x v="2"/>
    <x v="0"/>
    <x v="1"/>
    <x v="1"/>
    <n v="0"/>
    <n v="0"/>
    <n v="0"/>
    <n v="0"/>
    <n v="0"/>
    <n v="0"/>
    <n v="0"/>
    <m/>
    <n v="100"/>
    <s v="Unique"/>
    <s v="Valid"/>
    <s v="Valid"/>
    <s v="Valid"/>
    <s v="Valid"/>
    <s v="Valid"/>
    <s v="Outlier"/>
  </r>
  <r>
    <s v="USR-101289"/>
    <d v="2025-04-16T00:00:00"/>
    <x v="1"/>
    <x v="2"/>
    <x v="0"/>
    <x v="2"/>
    <x v="1"/>
    <n v="1"/>
    <n v="1"/>
    <n v="1"/>
    <n v="0"/>
    <n v="0"/>
    <n v="1"/>
    <n v="0"/>
    <m/>
    <n v="80.5"/>
    <s v="Unique"/>
    <s v="Valid"/>
    <s v="Valid"/>
    <s v="Valid"/>
    <s v="Valid"/>
    <s v="Valid"/>
    <s v="Outlier"/>
  </r>
  <r>
    <s v="USR-101290"/>
    <d v="2025-03-01T00:00:00"/>
    <x v="1"/>
    <x v="1"/>
    <x v="2"/>
    <x v="1"/>
    <x v="0"/>
    <n v="1"/>
    <n v="0"/>
    <n v="0"/>
    <n v="0"/>
    <n v="0"/>
    <n v="0"/>
    <n v="0"/>
    <m/>
    <n v="51.2"/>
    <s v="Unique"/>
    <s v="Valid"/>
    <s v="Valid"/>
    <s v="Valid"/>
    <s v="Valid"/>
    <s v="Valid"/>
    <s v="Outlier"/>
  </r>
  <r>
    <s v="USR-101291"/>
    <d v="2025-01-18T00:00:00"/>
    <x v="1"/>
    <x v="3"/>
    <x v="0"/>
    <x v="1"/>
    <x v="2"/>
    <n v="1"/>
    <n v="0"/>
    <n v="0"/>
    <n v="0"/>
    <n v="0"/>
    <n v="0"/>
    <n v="0"/>
    <m/>
    <n v="42.5"/>
    <s v="Unique"/>
    <s v="Valid"/>
    <s v="Valid"/>
    <s v="Valid"/>
    <s v="Valid"/>
    <s v="Valid"/>
    <s v="Outlier"/>
  </r>
  <r>
    <s v="USR-101292"/>
    <d v="2025-03-30T00:00:00"/>
    <x v="1"/>
    <x v="0"/>
    <x v="1"/>
    <x v="2"/>
    <x v="1"/>
    <n v="0"/>
    <n v="0"/>
    <n v="0"/>
    <n v="0"/>
    <n v="0"/>
    <n v="0"/>
    <n v="0"/>
    <m/>
    <n v="72.5"/>
    <s v="Unique"/>
    <s v="Valid"/>
    <s v="Valid"/>
    <s v="Valid"/>
    <s v="Valid"/>
    <s v="Valid"/>
    <s v="Outlier"/>
  </r>
  <r>
    <s v="USR-101293"/>
    <d v="2025-05-26T00:00:00"/>
    <x v="1"/>
    <x v="1"/>
    <x v="1"/>
    <x v="4"/>
    <x v="2"/>
    <n v="0"/>
    <n v="0"/>
    <n v="0"/>
    <n v="0"/>
    <n v="0"/>
    <n v="0"/>
    <n v="0"/>
    <m/>
    <n v="74.400000000000006"/>
    <s v="Unique"/>
    <s v="Valid"/>
    <s v="Valid"/>
    <s v="Valid"/>
    <s v="Valid"/>
    <s v="Valid"/>
    <s v="Outlier"/>
  </r>
  <r>
    <s v="USR-101294"/>
    <d v="2025-03-19T00:00:00"/>
    <x v="1"/>
    <x v="2"/>
    <x v="0"/>
    <x v="4"/>
    <x v="1"/>
    <n v="0"/>
    <n v="0"/>
    <n v="0"/>
    <n v="0"/>
    <n v="0"/>
    <n v="0"/>
    <n v="0"/>
    <m/>
    <n v="78.400000000000006"/>
    <s v="Unique"/>
    <s v="Valid"/>
    <s v="Valid"/>
    <s v="Valid"/>
    <s v="Valid"/>
    <s v="Valid"/>
    <s v="Outlier"/>
  </r>
  <r>
    <s v="USR-101295"/>
    <d v="2025-03-28T00:00:00"/>
    <x v="1"/>
    <x v="0"/>
    <x v="0"/>
    <x v="3"/>
    <x v="1"/>
    <n v="1"/>
    <n v="0"/>
    <n v="0"/>
    <n v="0"/>
    <n v="0"/>
    <n v="0"/>
    <n v="0"/>
    <m/>
    <n v="71.5"/>
    <s v="Unique"/>
    <s v="Valid"/>
    <s v="Valid"/>
    <s v="Valid"/>
    <s v="Valid"/>
    <s v="Valid"/>
    <s v="Outlier"/>
  </r>
  <r>
    <s v="USR-101296"/>
    <d v="2025-05-28T00:00:00"/>
    <x v="1"/>
    <x v="3"/>
    <x v="0"/>
    <x v="4"/>
    <x v="1"/>
    <n v="1"/>
    <n v="0"/>
    <n v="0"/>
    <n v="0"/>
    <n v="0"/>
    <n v="0"/>
    <n v="0"/>
    <m/>
    <n v="66.7"/>
    <s v="Unique"/>
    <s v="Valid"/>
    <s v="Valid"/>
    <s v="Valid"/>
    <s v="Valid"/>
    <s v="Valid"/>
    <s v="Outlier"/>
  </r>
  <r>
    <s v="USR-101297"/>
    <d v="2025-05-31T00:00:00"/>
    <x v="1"/>
    <x v="3"/>
    <x v="0"/>
    <x v="3"/>
    <x v="2"/>
    <n v="1"/>
    <n v="1"/>
    <n v="1"/>
    <n v="1"/>
    <n v="1496.09"/>
    <n v="0"/>
    <n v="0"/>
    <n v="7"/>
    <n v="60.4"/>
    <s v="Unique"/>
    <s v="Valid"/>
    <s v="Valid"/>
    <s v="Valid"/>
    <s v="Valid"/>
    <s v="Valid"/>
    <s v="Outlier"/>
  </r>
  <r>
    <s v="USR-101298"/>
    <d v="2025-05-10T00:00:00"/>
    <x v="1"/>
    <x v="0"/>
    <x v="1"/>
    <x v="3"/>
    <x v="1"/>
    <n v="0"/>
    <n v="0"/>
    <n v="0"/>
    <n v="0"/>
    <n v="0"/>
    <n v="1"/>
    <n v="0"/>
    <m/>
    <n v="72.900000000000006"/>
    <s v="Unique"/>
    <s v="Valid"/>
    <s v="Valid"/>
    <s v="Valid"/>
    <s v="Valid"/>
    <s v="Valid"/>
    <s v="Outlier"/>
  </r>
  <r>
    <s v="USR-101299"/>
    <d v="2025-05-17T00:00:00"/>
    <x v="1"/>
    <x v="1"/>
    <x v="1"/>
    <x v="1"/>
    <x v="1"/>
    <n v="0"/>
    <n v="0"/>
    <n v="0"/>
    <n v="0"/>
    <n v="0"/>
    <n v="3"/>
    <n v="0"/>
    <m/>
    <m/>
    <s v="Unique"/>
    <s v="Valid"/>
    <s v="Valid"/>
    <s v="Valid"/>
    <s v="Valid"/>
    <s v="Valid"/>
    <s v="Outlier"/>
  </r>
  <r>
    <s v="USR-101300"/>
    <d v="2025-01-18T00:00:00"/>
    <x v="1"/>
    <x v="3"/>
    <x v="1"/>
    <x v="1"/>
    <x v="2"/>
    <n v="1"/>
    <n v="0"/>
    <n v="0"/>
    <n v="0"/>
    <n v="0"/>
    <n v="0"/>
    <n v="0"/>
    <m/>
    <n v="55.2"/>
    <s v="Unique"/>
    <s v="Valid"/>
    <s v="Valid"/>
    <s v="Valid"/>
    <s v="Valid"/>
    <s v="Valid"/>
    <s v="Outlier"/>
  </r>
  <r>
    <s v="USR-101301"/>
    <d v="2025-05-04T00:00:00"/>
    <x v="1"/>
    <x v="1"/>
    <x v="1"/>
    <x v="4"/>
    <x v="1"/>
    <n v="1"/>
    <n v="0"/>
    <n v="0"/>
    <n v="0"/>
    <n v="0"/>
    <n v="0"/>
    <n v="0"/>
    <m/>
    <n v="67.8"/>
    <s v="Unique"/>
    <s v="Valid"/>
    <s v="Valid"/>
    <s v="Valid"/>
    <s v="Valid"/>
    <s v="Valid"/>
    <s v="Outlier"/>
  </r>
  <r>
    <s v="USR-101302"/>
    <d v="2025-03-25T00:00:00"/>
    <x v="1"/>
    <x v="0"/>
    <x v="1"/>
    <x v="1"/>
    <x v="1"/>
    <n v="1"/>
    <n v="0"/>
    <n v="0"/>
    <n v="0"/>
    <n v="0"/>
    <n v="2"/>
    <n v="0"/>
    <m/>
    <n v="70"/>
    <s v="Unique"/>
    <s v="Valid"/>
    <s v="Valid"/>
    <s v="Valid"/>
    <s v="Valid"/>
    <s v="Valid"/>
    <s v="Outlier"/>
  </r>
  <r>
    <s v="USR-101303"/>
    <d v="2025-02-27T00:00:00"/>
    <x v="1"/>
    <x v="0"/>
    <x v="1"/>
    <x v="4"/>
    <x v="0"/>
    <n v="1"/>
    <n v="1"/>
    <n v="1"/>
    <n v="0"/>
    <n v="0"/>
    <n v="0"/>
    <n v="0"/>
    <m/>
    <n v="51.1"/>
    <s v="Unique"/>
    <s v="Valid"/>
    <s v="Valid"/>
    <s v="Valid"/>
    <s v="Valid"/>
    <s v="Valid"/>
    <s v="Outlier"/>
  </r>
  <r>
    <s v="USR-101304"/>
    <d v="2025-01-14T00:00:00"/>
    <x v="1"/>
    <x v="1"/>
    <x v="1"/>
    <x v="2"/>
    <x v="0"/>
    <n v="1"/>
    <n v="1"/>
    <n v="1"/>
    <n v="0"/>
    <n v="0"/>
    <n v="0"/>
    <n v="0"/>
    <m/>
    <n v="57"/>
    <s v="Unique"/>
    <s v="Valid"/>
    <s v="Valid"/>
    <s v="Valid"/>
    <s v="Valid"/>
    <s v="Valid"/>
    <s v="Outlier"/>
  </r>
  <r>
    <s v="USR-101305"/>
    <d v="2025-04-11T00:00:00"/>
    <x v="1"/>
    <x v="2"/>
    <x v="1"/>
    <x v="4"/>
    <x v="1"/>
    <n v="0"/>
    <n v="0"/>
    <n v="0"/>
    <n v="0"/>
    <n v="0"/>
    <n v="1"/>
    <n v="0"/>
    <m/>
    <n v="47.1"/>
    <s v="Unique"/>
    <s v="Valid"/>
    <s v="Valid"/>
    <s v="Valid"/>
    <s v="Valid"/>
    <s v="Valid"/>
    <s v="Outlier"/>
  </r>
  <r>
    <s v="USR-101306"/>
    <d v="2025-03-26T00:00:00"/>
    <x v="1"/>
    <x v="2"/>
    <x v="0"/>
    <x v="4"/>
    <x v="0"/>
    <n v="0"/>
    <n v="0"/>
    <n v="0"/>
    <n v="0"/>
    <n v="0"/>
    <n v="0"/>
    <n v="0"/>
    <m/>
    <n v="30.7"/>
    <s v="Unique"/>
    <s v="Valid"/>
    <s v="Valid"/>
    <s v="Valid"/>
    <s v="Valid"/>
    <s v="Valid"/>
    <s v="Outlier"/>
  </r>
  <r>
    <s v="USR-101307"/>
    <d v="2025-02-12T00:00:00"/>
    <x v="1"/>
    <x v="1"/>
    <x v="0"/>
    <x v="4"/>
    <x v="1"/>
    <n v="1"/>
    <n v="0"/>
    <n v="0"/>
    <n v="0"/>
    <n v="0"/>
    <n v="0"/>
    <n v="0"/>
    <m/>
    <n v="57.3"/>
    <s v="Unique"/>
    <s v="Valid"/>
    <s v="Valid"/>
    <s v="Valid"/>
    <s v="Valid"/>
    <s v="Valid"/>
    <s v="Outlier"/>
  </r>
  <r>
    <s v="USR-101308"/>
    <d v="2025-02-18T00:00:00"/>
    <x v="1"/>
    <x v="1"/>
    <x v="2"/>
    <x v="2"/>
    <x v="0"/>
    <n v="1"/>
    <n v="0"/>
    <n v="0"/>
    <n v="0"/>
    <n v="0"/>
    <n v="0"/>
    <n v="0"/>
    <m/>
    <n v="70"/>
    <s v="Unique"/>
    <s v="Valid"/>
    <s v="Valid"/>
    <s v="Valid"/>
    <s v="Valid"/>
    <s v="Valid"/>
    <s v="Outlier"/>
  </r>
  <r>
    <s v="USR-101309"/>
    <d v="2025-05-25T00:00:00"/>
    <x v="1"/>
    <x v="2"/>
    <x v="0"/>
    <x v="4"/>
    <x v="1"/>
    <n v="1"/>
    <n v="1"/>
    <n v="1"/>
    <n v="0"/>
    <n v="0"/>
    <n v="0"/>
    <n v="0"/>
    <m/>
    <n v="59.7"/>
    <s v="Unique"/>
    <s v="Valid"/>
    <s v="Valid"/>
    <s v="Valid"/>
    <s v="Valid"/>
    <s v="Valid"/>
    <s v="Outlier"/>
  </r>
  <r>
    <s v="USR-101310"/>
    <d v="2025-05-23T00:00:00"/>
    <x v="1"/>
    <x v="2"/>
    <x v="0"/>
    <x v="2"/>
    <x v="0"/>
    <n v="1"/>
    <n v="0"/>
    <n v="0"/>
    <n v="0"/>
    <n v="0"/>
    <n v="0"/>
    <n v="0"/>
    <m/>
    <n v="68.8"/>
    <s v="Unique"/>
    <s v="Valid"/>
    <s v="Valid"/>
    <s v="Valid"/>
    <s v="Valid"/>
    <s v="Valid"/>
    <s v="Outlier"/>
  </r>
  <r>
    <s v="USR-101311"/>
    <d v="2025-01-16T00:00:00"/>
    <x v="1"/>
    <x v="0"/>
    <x v="0"/>
    <x v="1"/>
    <x v="1"/>
    <n v="1"/>
    <n v="1"/>
    <n v="1"/>
    <n v="1"/>
    <n v="428.37"/>
    <n v="0"/>
    <n v="0"/>
    <n v="9"/>
    <n v="88.3"/>
    <s v="Unique"/>
    <s v="Valid"/>
    <s v="Valid"/>
    <s v="Valid"/>
    <s v="Valid"/>
    <s v="Valid"/>
    <s v="Outlier"/>
  </r>
  <r>
    <s v="USR-101312"/>
    <d v="2025-01-19T00:00:00"/>
    <x v="1"/>
    <x v="1"/>
    <x v="0"/>
    <x v="0"/>
    <x v="0"/>
    <n v="0"/>
    <n v="0"/>
    <n v="0"/>
    <n v="0"/>
    <n v="0"/>
    <n v="0"/>
    <n v="0"/>
    <m/>
    <n v="83.4"/>
    <s v="Unique"/>
    <s v="Valid"/>
    <s v="Valid"/>
    <s v="Valid"/>
    <s v="Valid"/>
    <s v="Valid"/>
    <s v="Outlier"/>
  </r>
  <r>
    <s v="USR-101313"/>
    <d v="2025-05-18T00:00:00"/>
    <x v="1"/>
    <x v="3"/>
    <x v="1"/>
    <x v="3"/>
    <x v="1"/>
    <n v="0"/>
    <n v="0"/>
    <n v="0"/>
    <n v="0"/>
    <n v="0"/>
    <n v="1"/>
    <n v="0"/>
    <m/>
    <n v="81.599999999999994"/>
    <s v="Unique"/>
    <s v="Valid"/>
    <s v="Valid"/>
    <s v="Valid"/>
    <s v="Valid"/>
    <s v="Valid"/>
    <s v="Outlier"/>
  </r>
  <r>
    <s v="USR-101314"/>
    <d v="2025-01-23T00:00:00"/>
    <x v="1"/>
    <x v="2"/>
    <x v="2"/>
    <x v="4"/>
    <x v="2"/>
    <n v="1"/>
    <n v="0"/>
    <n v="0"/>
    <n v="0"/>
    <n v="0"/>
    <n v="0"/>
    <n v="0"/>
    <m/>
    <n v="91.6"/>
    <s v="Unique"/>
    <s v="Valid"/>
    <s v="Valid"/>
    <s v="Valid"/>
    <s v="Valid"/>
    <s v="Valid"/>
    <s v="Outlier"/>
  </r>
  <r>
    <s v="USR-101315"/>
    <d v="2025-01-08T00:00:00"/>
    <x v="1"/>
    <x v="2"/>
    <x v="2"/>
    <x v="5"/>
    <x v="2"/>
    <n v="1"/>
    <n v="1"/>
    <n v="1"/>
    <n v="0"/>
    <n v="0"/>
    <n v="1"/>
    <n v="0"/>
    <m/>
    <n v="61.5"/>
    <s v="Unique"/>
    <s v="Valid"/>
    <s v="Valid"/>
    <s v="Valid"/>
    <s v="Valid"/>
    <s v="Valid"/>
    <s v="Outlier"/>
  </r>
  <r>
    <s v="USR-101316"/>
    <d v="2025-02-19T00:00:00"/>
    <x v="1"/>
    <x v="0"/>
    <x v="1"/>
    <x v="1"/>
    <x v="2"/>
    <n v="0"/>
    <n v="0"/>
    <n v="0"/>
    <n v="0"/>
    <n v="0"/>
    <n v="0"/>
    <n v="0"/>
    <m/>
    <m/>
    <s v="Unique"/>
    <s v="Valid"/>
    <s v="Valid"/>
    <s v="Valid"/>
    <s v="Valid"/>
    <s v="Valid"/>
    <s v="Outlier"/>
  </r>
  <r>
    <s v="USR-101317"/>
    <d v="2025-02-10T00:00:00"/>
    <x v="1"/>
    <x v="3"/>
    <x v="1"/>
    <x v="1"/>
    <x v="1"/>
    <n v="1"/>
    <n v="0"/>
    <n v="0"/>
    <n v="0"/>
    <n v="0"/>
    <n v="0"/>
    <n v="0"/>
    <m/>
    <n v="32.6"/>
    <s v="Unique"/>
    <s v="Valid"/>
    <s v="Valid"/>
    <s v="Valid"/>
    <s v="Valid"/>
    <s v="Valid"/>
    <s v="Outlier"/>
  </r>
  <r>
    <s v="USR-101318"/>
    <d v="2025-04-13T00:00:00"/>
    <x v="1"/>
    <x v="3"/>
    <x v="1"/>
    <x v="2"/>
    <x v="1"/>
    <n v="1"/>
    <n v="0"/>
    <n v="0"/>
    <n v="0"/>
    <n v="0"/>
    <n v="0"/>
    <n v="0"/>
    <m/>
    <n v="73.900000000000006"/>
    <s v="Unique"/>
    <s v="Valid"/>
    <s v="Valid"/>
    <s v="Valid"/>
    <s v="Valid"/>
    <s v="Valid"/>
    <s v="Outlier"/>
  </r>
  <r>
    <s v="USR-101319"/>
    <d v="2025-05-20T00:00:00"/>
    <x v="1"/>
    <x v="2"/>
    <x v="1"/>
    <x v="1"/>
    <x v="1"/>
    <n v="1"/>
    <n v="1"/>
    <n v="1"/>
    <n v="1"/>
    <n v="444.06"/>
    <n v="0"/>
    <n v="0"/>
    <n v="9"/>
    <n v="99.9"/>
    <s v="Unique"/>
    <s v="Valid"/>
    <s v="Valid"/>
    <s v="Valid"/>
    <s v="Valid"/>
    <s v="Valid"/>
    <s v="Outlier"/>
  </r>
  <r>
    <s v="USR-101320"/>
    <d v="2025-05-13T00:00:00"/>
    <x v="1"/>
    <x v="3"/>
    <x v="1"/>
    <x v="2"/>
    <x v="0"/>
    <n v="1"/>
    <n v="1"/>
    <n v="0"/>
    <n v="0"/>
    <n v="0"/>
    <n v="1"/>
    <n v="0"/>
    <m/>
    <n v="62.4"/>
    <s v="Unique"/>
    <s v="Valid"/>
    <s v="Valid"/>
    <s v="Valid"/>
    <s v="Valid"/>
    <s v="Valid"/>
    <s v="Outlier"/>
  </r>
  <r>
    <s v="USR-101321"/>
    <d v="2025-05-28T00:00:00"/>
    <x v="1"/>
    <x v="3"/>
    <x v="0"/>
    <x v="2"/>
    <x v="0"/>
    <n v="1"/>
    <n v="0"/>
    <n v="0"/>
    <n v="0"/>
    <n v="0"/>
    <n v="0"/>
    <n v="0"/>
    <m/>
    <n v="46.1"/>
    <s v="Unique"/>
    <s v="Valid"/>
    <s v="Valid"/>
    <s v="Valid"/>
    <s v="Valid"/>
    <s v="Valid"/>
    <s v="Outlier"/>
  </r>
  <r>
    <s v="USR-101322"/>
    <d v="2025-03-19T00:00:00"/>
    <x v="1"/>
    <x v="1"/>
    <x v="1"/>
    <x v="1"/>
    <x v="1"/>
    <n v="1"/>
    <n v="1"/>
    <n v="1"/>
    <n v="1"/>
    <n v="2660.21"/>
    <n v="0"/>
    <n v="0"/>
    <n v="3"/>
    <n v="73.900000000000006"/>
    <s v="Unique"/>
    <s v="Valid"/>
    <s v="Valid"/>
    <s v="Valid"/>
    <s v="Valid"/>
    <s v="Valid"/>
    <s v="Outlier"/>
  </r>
  <r>
    <s v="USR-101323"/>
    <d v="2025-02-03T00:00:00"/>
    <x v="1"/>
    <x v="0"/>
    <x v="1"/>
    <x v="0"/>
    <x v="2"/>
    <n v="0"/>
    <n v="0"/>
    <n v="0"/>
    <n v="0"/>
    <n v="0"/>
    <n v="0"/>
    <n v="0"/>
    <m/>
    <n v="90"/>
    <s v="Unique"/>
    <s v="Valid"/>
    <s v="Valid"/>
    <s v="Valid"/>
    <s v="Valid"/>
    <s v="Valid"/>
    <s v="Outlier"/>
  </r>
  <r>
    <s v="USR-101324"/>
    <d v="2025-02-26T00:00:00"/>
    <x v="1"/>
    <x v="3"/>
    <x v="1"/>
    <x v="0"/>
    <x v="0"/>
    <n v="1"/>
    <n v="0"/>
    <n v="0"/>
    <n v="0"/>
    <n v="0"/>
    <n v="1"/>
    <n v="0"/>
    <m/>
    <n v="68.8"/>
    <s v="Unique"/>
    <s v="Valid"/>
    <s v="Valid"/>
    <s v="Valid"/>
    <s v="Valid"/>
    <s v="Valid"/>
    <s v="Outlier"/>
  </r>
  <r>
    <s v="USR-101325"/>
    <d v="2025-01-26T00:00:00"/>
    <x v="1"/>
    <x v="1"/>
    <x v="1"/>
    <x v="2"/>
    <x v="1"/>
    <n v="1"/>
    <n v="0"/>
    <n v="0"/>
    <n v="0"/>
    <n v="0"/>
    <n v="0"/>
    <n v="0"/>
    <m/>
    <n v="66.599999999999994"/>
    <s v="Unique"/>
    <s v="Valid"/>
    <s v="Valid"/>
    <s v="Valid"/>
    <s v="Valid"/>
    <s v="Valid"/>
    <s v="Outlier"/>
  </r>
  <r>
    <s v="USR-101326"/>
    <d v="2025-05-13T00:00:00"/>
    <x v="1"/>
    <x v="0"/>
    <x v="1"/>
    <x v="1"/>
    <x v="2"/>
    <n v="1"/>
    <n v="0"/>
    <n v="0"/>
    <n v="0"/>
    <n v="0"/>
    <n v="0"/>
    <n v="0"/>
    <m/>
    <n v="49.7"/>
    <s v="Unique"/>
    <s v="Valid"/>
    <s v="Valid"/>
    <s v="Valid"/>
    <s v="Valid"/>
    <s v="Valid"/>
    <s v="Outlier"/>
  </r>
  <r>
    <s v="USR-101327"/>
    <d v="2025-02-02T00:00:00"/>
    <x v="1"/>
    <x v="3"/>
    <x v="1"/>
    <x v="2"/>
    <x v="0"/>
    <n v="0"/>
    <n v="0"/>
    <n v="0"/>
    <n v="0"/>
    <n v="0"/>
    <n v="0"/>
    <n v="0"/>
    <m/>
    <n v="67.900000000000006"/>
    <s v="Unique"/>
    <s v="Valid"/>
    <s v="Valid"/>
    <s v="Valid"/>
    <s v="Valid"/>
    <s v="Valid"/>
    <s v="Outlier"/>
  </r>
  <r>
    <s v="USR-101328"/>
    <d v="2025-04-30T00:00:00"/>
    <x v="1"/>
    <x v="1"/>
    <x v="1"/>
    <x v="5"/>
    <x v="0"/>
    <n v="0"/>
    <n v="0"/>
    <n v="0"/>
    <n v="0"/>
    <n v="0"/>
    <n v="0"/>
    <n v="0"/>
    <m/>
    <n v="66.900000000000006"/>
    <s v="Unique"/>
    <s v="Valid"/>
    <s v="Valid"/>
    <s v="Valid"/>
    <s v="Valid"/>
    <s v="Valid"/>
    <s v="Outlier"/>
  </r>
  <r>
    <s v="USR-101329"/>
    <d v="2025-03-29T00:00:00"/>
    <x v="1"/>
    <x v="2"/>
    <x v="1"/>
    <x v="1"/>
    <x v="1"/>
    <n v="0"/>
    <n v="0"/>
    <n v="0"/>
    <n v="0"/>
    <n v="0"/>
    <n v="0"/>
    <n v="0"/>
    <m/>
    <n v="46.1"/>
    <s v="Unique"/>
    <s v="Valid"/>
    <s v="Valid"/>
    <s v="Valid"/>
    <s v="Valid"/>
    <s v="Valid"/>
    <s v="Outlier"/>
  </r>
  <r>
    <s v="USR-101330"/>
    <d v="2025-04-09T00:00:00"/>
    <x v="1"/>
    <x v="1"/>
    <x v="0"/>
    <x v="3"/>
    <x v="2"/>
    <n v="1"/>
    <n v="0"/>
    <n v="0"/>
    <n v="0"/>
    <n v="0"/>
    <n v="0"/>
    <n v="0"/>
    <m/>
    <n v="85.6"/>
    <s v="Unique"/>
    <s v="Valid"/>
    <s v="Valid"/>
    <s v="Valid"/>
    <s v="Valid"/>
    <s v="Valid"/>
    <s v="Outlier"/>
  </r>
  <r>
    <s v="USR-101331"/>
    <d v="2025-01-22T00:00:00"/>
    <x v="1"/>
    <x v="3"/>
    <x v="2"/>
    <x v="1"/>
    <x v="1"/>
    <n v="0"/>
    <n v="0"/>
    <n v="0"/>
    <n v="0"/>
    <n v="0"/>
    <n v="0"/>
    <n v="0"/>
    <m/>
    <n v="39.6"/>
    <s v="Unique"/>
    <s v="Valid"/>
    <s v="Valid"/>
    <s v="Valid"/>
    <s v="Valid"/>
    <s v="Valid"/>
    <s v="Outlier"/>
  </r>
  <r>
    <s v="USR-101332"/>
    <d v="2025-01-27T00:00:00"/>
    <x v="1"/>
    <x v="3"/>
    <x v="1"/>
    <x v="1"/>
    <x v="0"/>
    <n v="1"/>
    <n v="0"/>
    <n v="0"/>
    <n v="0"/>
    <n v="0"/>
    <n v="0"/>
    <n v="0"/>
    <m/>
    <n v="52.5"/>
    <s v="Unique"/>
    <s v="Valid"/>
    <s v="Valid"/>
    <s v="Valid"/>
    <s v="Valid"/>
    <s v="Valid"/>
    <s v="Outlier"/>
  </r>
  <r>
    <s v="USR-101333"/>
    <d v="2025-01-22T00:00:00"/>
    <x v="1"/>
    <x v="2"/>
    <x v="1"/>
    <x v="4"/>
    <x v="2"/>
    <n v="1"/>
    <n v="0"/>
    <n v="0"/>
    <n v="0"/>
    <n v="0"/>
    <n v="0"/>
    <n v="0"/>
    <m/>
    <n v="73.5"/>
    <s v="Unique"/>
    <s v="Valid"/>
    <s v="Valid"/>
    <s v="Valid"/>
    <s v="Valid"/>
    <s v="Valid"/>
    <s v="Outlier"/>
  </r>
  <r>
    <s v="USR-101334"/>
    <d v="2025-01-06T00:00:00"/>
    <x v="1"/>
    <x v="1"/>
    <x v="0"/>
    <x v="2"/>
    <x v="1"/>
    <n v="0"/>
    <n v="0"/>
    <n v="0"/>
    <n v="0"/>
    <n v="0"/>
    <n v="0"/>
    <n v="0"/>
    <m/>
    <n v="62.5"/>
    <s v="Unique"/>
    <s v="Valid"/>
    <s v="Valid"/>
    <s v="Valid"/>
    <s v="Valid"/>
    <s v="Valid"/>
    <s v="Outlier"/>
  </r>
  <r>
    <s v="USR-101335"/>
    <d v="2025-04-16T00:00:00"/>
    <x v="1"/>
    <x v="3"/>
    <x v="3"/>
    <x v="1"/>
    <x v="1"/>
    <n v="1"/>
    <n v="0"/>
    <n v="0"/>
    <n v="0"/>
    <n v="0"/>
    <n v="0"/>
    <n v="0"/>
    <m/>
    <n v="76.900000000000006"/>
    <s v="Unique"/>
    <s v="Valid"/>
    <s v="Valid"/>
    <s v="Valid"/>
    <s v="Valid"/>
    <s v="Valid"/>
    <s v="Outlier"/>
  </r>
  <r>
    <s v="USR-101336"/>
    <d v="2025-04-14T00:00:00"/>
    <x v="1"/>
    <x v="3"/>
    <x v="1"/>
    <x v="1"/>
    <x v="1"/>
    <n v="1"/>
    <n v="0"/>
    <n v="0"/>
    <n v="0"/>
    <n v="0"/>
    <n v="0"/>
    <n v="0"/>
    <m/>
    <n v="51.4"/>
    <s v="Unique"/>
    <s v="Valid"/>
    <s v="Valid"/>
    <s v="Valid"/>
    <s v="Valid"/>
    <s v="Valid"/>
    <s v="Outlier"/>
  </r>
  <r>
    <s v="USR-101337"/>
    <d v="2025-02-22T00:00:00"/>
    <x v="1"/>
    <x v="1"/>
    <x v="1"/>
    <x v="2"/>
    <x v="0"/>
    <n v="1"/>
    <n v="0"/>
    <n v="0"/>
    <n v="0"/>
    <n v="0"/>
    <n v="0"/>
    <n v="0"/>
    <m/>
    <n v="59.3"/>
    <s v="Unique"/>
    <s v="Valid"/>
    <s v="Valid"/>
    <s v="Valid"/>
    <s v="Valid"/>
    <s v="Valid"/>
    <s v="Outlier"/>
  </r>
  <r>
    <s v="USR-101338"/>
    <d v="2025-03-09T00:00:00"/>
    <x v="1"/>
    <x v="0"/>
    <x v="1"/>
    <x v="1"/>
    <x v="0"/>
    <n v="0"/>
    <n v="0"/>
    <n v="0"/>
    <n v="0"/>
    <n v="0"/>
    <n v="0"/>
    <n v="0"/>
    <m/>
    <n v="74.900000000000006"/>
    <s v="Unique"/>
    <s v="Valid"/>
    <s v="Valid"/>
    <s v="Valid"/>
    <s v="Valid"/>
    <s v="Valid"/>
    <s v="Outlier"/>
  </r>
  <r>
    <s v="USR-101339"/>
    <d v="2025-04-20T00:00:00"/>
    <x v="1"/>
    <x v="1"/>
    <x v="0"/>
    <x v="1"/>
    <x v="1"/>
    <n v="1"/>
    <n v="0"/>
    <n v="0"/>
    <n v="0"/>
    <n v="0"/>
    <n v="0"/>
    <n v="0"/>
    <m/>
    <n v="67"/>
    <s v="Unique"/>
    <s v="Valid"/>
    <s v="Valid"/>
    <s v="Valid"/>
    <s v="Valid"/>
    <s v="Valid"/>
    <s v="Outlier"/>
  </r>
  <r>
    <s v="USR-101340"/>
    <d v="2025-03-10T00:00:00"/>
    <x v="1"/>
    <x v="3"/>
    <x v="1"/>
    <x v="0"/>
    <x v="1"/>
    <n v="0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1341"/>
    <d v="2025-02-21T00:00:00"/>
    <x v="1"/>
    <x v="3"/>
    <x v="1"/>
    <x v="0"/>
    <x v="1"/>
    <n v="1"/>
    <n v="1"/>
    <n v="0"/>
    <n v="0"/>
    <n v="0"/>
    <n v="1"/>
    <n v="0"/>
    <m/>
    <n v="58.4"/>
    <s v="Unique"/>
    <s v="Valid"/>
    <s v="Valid"/>
    <s v="Valid"/>
    <s v="Valid"/>
    <s v="Valid"/>
    <s v="Outlier"/>
  </r>
  <r>
    <s v="USR-101342"/>
    <d v="2025-01-06T00:00:00"/>
    <x v="1"/>
    <x v="0"/>
    <x v="0"/>
    <x v="4"/>
    <x v="1"/>
    <n v="1"/>
    <n v="0"/>
    <n v="0"/>
    <n v="0"/>
    <n v="0"/>
    <n v="0"/>
    <n v="0"/>
    <m/>
    <n v="36.799999999999997"/>
    <s v="Unique"/>
    <s v="Valid"/>
    <s v="Valid"/>
    <s v="Valid"/>
    <s v="Valid"/>
    <s v="Valid"/>
    <s v="Outlier"/>
  </r>
  <r>
    <s v="USR-101343"/>
    <d v="2025-04-17T00:00:00"/>
    <x v="1"/>
    <x v="3"/>
    <x v="1"/>
    <x v="1"/>
    <x v="2"/>
    <n v="1"/>
    <n v="0"/>
    <n v="0"/>
    <n v="0"/>
    <n v="0"/>
    <n v="0"/>
    <n v="0"/>
    <m/>
    <n v="71.599999999999994"/>
    <s v="Unique"/>
    <s v="Valid"/>
    <s v="Valid"/>
    <s v="Valid"/>
    <s v="Valid"/>
    <s v="Valid"/>
    <s v="Outlier"/>
  </r>
  <r>
    <s v="USR-101344"/>
    <d v="2025-05-23T00:00:00"/>
    <x v="1"/>
    <x v="3"/>
    <x v="1"/>
    <x v="0"/>
    <x v="0"/>
    <n v="1"/>
    <n v="1"/>
    <n v="0"/>
    <n v="0"/>
    <n v="0"/>
    <n v="1"/>
    <n v="0"/>
    <m/>
    <n v="79.7"/>
    <s v="Unique"/>
    <s v="Valid"/>
    <s v="Valid"/>
    <s v="Valid"/>
    <s v="Valid"/>
    <s v="Valid"/>
    <s v="Outlier"/>
  </r>
  <r>
    <s v="USR-101345"/>
    <d v="2025-03-14T00:00:00"/>
    <x v="1"/>
    <x v="1"/>
    <x v="0"/>
    <x v="1"/>
    <x v="0"/>
    <n v="1"/>
    <n v="0"/>
    <n v="0"/>
    <n v="0"/>
    <n v="0"/>
    <n v="1"/>
    <n v="0"/>
    <m/>
    <n v="56.5"/>
    <s v="Unique"/>
    <s v="Valid"/>
    <s v="Valid"/>
    <s v="Valid"/>
    <s v="Valid"/>
    <s v="Valid"/>
    <s v="Outlier"/>
  </r>
  <r>
    <s v="USR-101346"/>
    <d v="2025-04-21T00:00:00"/>
    <x v="1"/>
    <x v="0"/>
    <x v="1"/>
    <x v="4"/>
    <x v="2"/>
    <n v="1"/>
    <n v="0"/>
    <n v="0"/>
    <n v="0"/>
    <n v="0"/>
    <n v="0"/>
    <n v="0"/>
    <m/>
    <n v="44.7"/>
    <s v="Unique"/>
    <s v="Valid"/>
    <s v="Valid"/>
    <s v="Valid"/>
    <s v="Valid"/>
    <s v="Valid"/>
    <s v="Outlier"/>
  </r>
  <r>
    <s v="USR-101347"/>
    <d v="2025-01-03T00:00:00"/>
    <x v="1"/>
    <x v="3"/>
    <x v="1"/>
    <x v="4"/>
    <x v="1"/>
    <n v="1"/>
    <n v="1"/>
    <n v="1"/>
    <n v="0"/>
    <n v="0"/>
    <n v="1"/>
    <n v="0"/>
    <m/>
    <n v="66"/>
    <s v="Unique"/>
    <s v="Valid"/>
    <s v="Valid"/>
    <s v="Valid"/>
    <s v="Valid"/>
    <s v="Valid"/>
    <s v="Outlier"/>
  </r>
  <r>
    <s v="USR-101348"/>
    <d v="2025-05-09T00:00:00"/>
    <x v="1"/>
    <x v="0"/>
    <x v="0"/>
    <x v="1"/>
    <x v="0"/>
    <n v="1"/>
    <n v="0"/>
    <n v="0"/>
    <n v="0"/>
    <n v="0"/>
    <n v="0"/>
    <n v="0"/>
    <m/>
    <n v="73"/>
    <s v="Unique"/>
    <s v="Valid"/>
    <s v="Valid"/>
    <s v="Valid"/>
    <s v="Valid"/>
    <s v="Valid"/>
    <s v="Outlier"/>
  </r>
  <r>
    <s v="USR-101349"/>
    <d v="2025-05-22T00:00:00"/>
    <x v="1"/>
    <x v="3"/>
    <x v="1"/>
    <x v="1"/>
    <x v="0"/>
    <n v="1"/>
    <n v="1"/>
    <n v="1"/>
    <n v="0"/>
    <n v="0"/>
    <n v="1"/>
    <n v="0"/>
    <m/>
    <n v="72.5"/>
    <s v="Unique"/>
    <s v="Valid"/>
    <s v="Valid"/>
    <s v="Valid"/>
    <s v="Valid"/>
    <s v="Valid"/>
    <s v="Outlier"/>
  </r>
  <r>
    <s v="USR-101350"/>
    <d v="2025-05-07T00:00:00"/>
    <x v="1"/>
    <x v="3"/>
    <x v="0"/>
    <x v="2"/>
    <x v="1"/>
    <n v="1"/>
    <n v="1"/>
    <n v="1"/>
    <n v="1"/>
    <n v="323.60000000000002"/>
    <n v="0"/>
    <n v="0"/>
    <n v="6"/>
    <n v="100"/>
    <s v="Unique"/>
    <s v="Valid"/>
    <s v="Valid"/>
    <s v="Valid"/>
    <s v="Valid"/>
    <s v="Valid"/>
    <s v="Outlier"/>
  </r>
  <r>
    <s v="USR-101351"/>
    <d v="2025-02-08T00:00:00"/>
    <x v="1"/>
    <x v="2"/>
    <x v="1"/>
    <x v="4"/>
    <x v="1"/>
    <n v="0"/>
    <n v="0"/>
    <n v="0"/>
    <n v="0"/>
    <n v="0"/>
    <n v="1"/>
    <n v="0"/>
    <m/>
    <n v="90.5"/>
    <s v="Unique"/>
    <s v="Valid"/>
    <s v="Valid"/>
    <s v="Valid"/>
    <s v="Valid"/>
    <s v="Valid"/>
    <s v="Outlier"/>
  </r>
  <r>
    <s v="USR-101352"/>
    <d v="2025-04-03T00:00:00"/>
    <x v="1"/>
    <x v="0"/>
    <x v="2"/>
    <x v="4"/>
    <x v="0"/>
    <n v="1"/>
    <n v="0"/>
    <n v="0"/>
    <n v="0"/>
    <n v="0"/>
    <n v="0"/>
    <n v="0"/>
    <m/>
    <n v="70.2"/>
    <s v="Unique"/>
    <s v="Valid"/>
    <s v="Valid"/>
    <s v="Valid"/>
    <s v="Valid"/>
    <s v="Valid"/>
    <s v="Outlier"/>
  </r>
  <r>
    <s v="USR-101353"/>
    <d v="2025-04-17T00:00:00"/>
    <x v="1"/>
    <x v="2"/>
    <x v="0"/>
    <x v="2"/>
    <x v="1"/>
    <n v="1"/>
    <n v="0"/>
    <n v="0"/>
    <n v="0"/>
    <n v="0"/>
    <n v="1"/>
    <n v="0"/>
    <m/>
    <n v="67.099999999999994"/>
    <s v="Unique"/>
    <s v="Valid"/>
    <s v="Valid"/>
    <s v="Valid"/>
    <s v="Valid"/>
    <s v="Valid"/>
    <s v="Outlier"/>
  </r>
  <r>
    <s v="USR-101354"/>
    <d v="2025-05-04T00:00:00"/>
    <x v="1"/>
    <x v="2"/>
    <x v="1"/>
    <x v="1"/>
    <x v="1"/>
    <n v="0"/>
    <n v="0"/>
    <n v="0"/>
    <n v="0"/>
    <n v="0"/>
    <n v="0"/>
    <n v="0"/>
    <m/>
    <n v="54.5"/>
    <s v="Unique"/>
    <s v="Valid"/>
    <s v="Valid"/>
    <s v="Valid"/>
    <s v="Valid"/>
    <s v="Valid"/>
    <s v="Outlier"/>
  </r>
  <r>
    <s v="USR-101355"/>
    <d v="2025-05-11T00:00:00"/>
    <x v="1"/>
    <x v="1"/>
    <x v="0"/>
    <x v="1"/>
    <x v="1"/>
    <n v="1"/>
    <n v="0"/>
    <n v="0"/>
    <n v="0"/>
    <n v="0"/>
    <n v="0"/>
    <n v="0"/>
    <m/>
    <n v="63.4"/>
    <s v="Unique"/>
    <s v="Valid"/>
    <s v="Valid"/>
    <s v="Valid"/>
    <s v="Valid"/>
    <s v="Valid"/>
    <s v="Outlier"/>
  </r>
  <r>
    <s v="USR-101356"/>
    <d v="2025-03-01T00:00:00"/>
    <x v="1"/>
    <x v="0"/>
    <x v="0"/>
    <x v="5"/>
    <x v="1"/>
    <n v="1"/>
    <n v="1"/>
    <n v="1"/>
    <n v="0"/>
    <n v="0"/>
    <n v="0"/>
    <n v="0"/>
    <m/>
    <n v="84.3"/>
    <s v="Unique"/>
    <s v="Valid"/>
    <s v="Valid"/>
    <s v="Valid"/>
    <s v="Valid"/>
    <s v="Valid"/>
    <s v="Outlier"/>
  </r>
  <r>
    <s v="USR-101357"/>
    <d v="2025-02-20T00:00:00"/>
    <x v="1"/>
    <x v="1"/>
    <x v="0"/>
    <x v="1"/>
    <x v="1"/>
    <n v="1"/>
    <n v="0"/>
    <n v="0"/>
    <n v="0"/>
    <n v="0"/>
    <n v="1"/>
    <n v="0"/>
    <m/>
    <n v="55"/>
    <s v="Unique"/>
    <s v="Valid"/>
    <s v="Valid"/>
    <s v="Valid"/>
    <s v="Valid"/>
    <s v="Valid"/>
    <s v="Outlier"/>
  </r>
  <r>
    <s v="USR-101358"/>
    <d v="2025-05-09T00:00:00"/>
    <x v="1"/>
    <x v="1"/>
    <x v="1"/>
    <x v="4"/>
    <x v="1"/>
    <n v="1"/>
    <n v="0"/>
    <n v="0"/>
    <n v="0"/>
    <n v="0"/>
    <n v="0"/>
    <n v="0"/>
    <m/>
    <n v="63.6"/>
    <s v="Unique"/>
    <s v="Valid"/>
    <s v="Valid"/>
    <s v="Valid"/>
    <s v="Valid"/>
    <s v="Valid"/>
    <s v="Outlier"/>
  </r>
  <r>
    <s v="USR-101359"/>
    <d v="2025-04-30T00:00:00"/>
    <x v="1"/>
    <x v="1"/>
    <x v="1"/>
    <x v="1"/>
    <x v="1"/>
    <n v="1"/>
    <n v="0"/>
    <n v="0"/>
    <n v="0"/>
    <n v="0"/>
    <n v="0"/>
    <n v="0"/>
    <m/>
    <n v="55.5"/>
    <s v="Unique"/>
    <s v="Valid"/>
    <s v="Valid"/>
    <s v="Valid"/>
    <s v="Valid"/>
    <s v="Valid"/>
    <s v="Outlier"/>
  </r>
  <r>
    <s v="USR-101360"/>
    <d v="2025-01-07T00:00:00"/>
    <x v="1"/>
    <x v="3"/>
    <x v="1"/>
    <x v="4"/>
    <x v="0"/>
    <n v="0"/>
    <n v="0"/>
    <n v="0"/>
    <n v="0"/>
    <n v="0"/>
    <n v="0"/>
    <n v="0"/>
    <m/>
    <n v="50.5"/>
    <s v="Unique"/>
    <s v="Valid"/>
    <s v="Valid"/>
    <s v="Valid"/>
    <s v="Valid"/>
    <s v="Valid"/>
    <s v="Outlier"/>
  </r>
  <r>
    <s v="USR-101361"/>
    <d v="2025-04-30T00:00:00"/>
    <x v="1"/>
    <x v="0"/>
    <x v="1"/>
    <x v="4"/>
    <x v="0"/>
    <n v="1"/>
    <n v="0"/>
    <n v="0"/>
    <n v="0"/>
    <n v="0"/>
    <n v="0"/>
    <n v="0"/>
    <m/>
    <n v="45.3"/>
    <s v="Unique"/>
    <s v="Valid"/>
    <s v="Valid"/>
    <s v="Valid"/>
    <s v="Valid"/>
    <s v="Valid"/>
    <s v="Outlier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s v="Unique"/>
    <s v="Valid"/>
    <s v="Valid"/>
    <s v="Valid"/>
    <s v="Valid"/>
    <s v="Valid"/>
    <s v="Outlier"/>
  </r>
  <r>
    <s v="USR-101363"/>
    <d v="2025-03-12T00:00:00"/>
    <x v="1"/>
    <x v="3"/>
    <x v="1"/>
    <x v="2"/>
    <x v="2"/>
    <n v="1"/>
    <n v="1"/>
    <n v="1"/>
    <n v="0"/>
    <n v="0"/>
    <n v="0"/>
    <n v="0"/>
    <m/>
    <n v="88.2"/>
    <s v="Unique"/>
    <s v="Valid"/>
    <s v="Valid"/>
    <s v="Valid"/>
    <s v="Valid"/>
    <s v="Valid"/>
    <s v="Outlier"/>
  </r>
  <r>
    <s v="USR-101364"/>
    <d v="2025-02-17T00:00:00"/>
    <x v="1"/>
    <x v="0"/>
    <x v="1"/>
    <x v="1"/>
    <x v="2"/>
    <n v="1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1365"/>
    <d v="2025-05-27T00:00:00"/>
    <x v="1"/>
    <x v="0"/>
    <x v="0"/>
    <x v="1"/>
    <x v="0"/>
    <n v="0"/>
    <n v="0"/>
    <n v="0"/>
    <n v="0"/>
    <n v="0"/>
    <n v="0"/>
    <n v="0"/>
    <m/>
    <n v="87.9"/>
    <s v="Unique"/>
    <s v="Valid"/>
    <s v="Valid"/>
    <s v="Valid"/>
    <s v="Valid"/>
    <s v="Valid"/>
    <s v="Outlier"/>
  </r>
  <r>
    <s v="USR-101366"/>
    <d v="2025-05-10T00:00:00"/>
    <x v="1"/>
    <x v="3"/>
    <x v="1"/>
    <x v="4"/>
    <x v="2"/>
    <n v="1"/>
    <n v="0"/>
    <n v="0"/>
    <n v="0"/>
    <n v="0"/>
    <n v="2"/>
    <n v="0"/>
    <m/>
    <n v="70.5"/>
    <s v="Unique"/>
    <s v="Valid"/>
    <s v="Valid"/>
    <s v="Valid"/>
    <s v="Valid"/>
    <s v="Valid"/>
    <s v="Outlier"/>
  </r>
  <r>
    <s v="USR-101367"/>
    <d v="2025-01-20T00:00:00"/>
    <x v="1"/>
    <x v="0"/>
    <x v="1"/>
    <x v="1"/>
    <x v="0"/>
    <n v="1"/>
    <n v="1"/>
    <n v="0"/>
    <n v="0"/>
    <n v="0"/>
    <n v="2"/>
    <n v="0"/>
    <m/>
    <n v="58.5"/>
    <s v="Unique"/>
    <s v="Valid"/>
    <s v="Valid"/>
    <s v="Valid"/>
    <s v="Valid"/>
    <s v="Valid"/>
    <s v="Outlier"/>
  </r>
  <r>
    <s v="USR-101368"/>
    <d v="2025-01-19T00:00:00"/>
    <x v="1"/>
    <x v="2"/>
    <x v="1"/>
    <x v="3"/>
    <x v="1"/>
    <n v="1"/>
    <n v="0"/>
    <n v="0"/>
    <n v="0"/>
    <n v="0"/>
    <n v="0"/>
    <n v="0"/>
    <m/>
    <n v="65.599999999999994"/>
    <s v="Unique"/>
    <s v="Valid"/>
    <s v="Valid"/>
    <s v="Valid"/>
    <s v="Valid"/>
    <s v="Valid"/>
    <s v="Outlier"/>
  </r>
  <r>
    <s v="USR-101369"/>
    <d v="2025-03-07T00:00:00"/>
    <x v="1"/>
    <x v="1"/>
    <x v="0"/>
    <x v="2"/>
    <x v="0"/>
    <n v="1"/>
    <n v="1"/>
    <n v="0"/>
    <n v="0"/>
    <n v="0"/>
    <n v="0"/>
    <n v="0"/>
    <m/>
    <n v="62.7"/>
    <s v="Unique"/>
    <s v="Valid"/>
    <s v="Valid"/>
    <s v="Valid"/>
    <s v="Valid"/>
    <s v="Valid"/>
    <s v="Outlier"/>
  </r>
  <r>
    <s v="USR-101370"/>
    <d v="2025-02-02T00:00:00"/>
    <x v="1"/>
    <x v="2"/>
    <x v="1"/>
    <x v="1"/>
    <x v="1"/>
    <n v="0"/>
    <n v="0"/>
    <n v="0"/>
    <n v="0"/>
    <n v="0"/>
    <n v="1"/>
    <n v="0"/>
    <m/>
    <n v="50.9"/>
    <s v="Unique"/>
    <s v="Valid"/>
    <s v="Valid"/>
    <s v="Valid"/>
    <s v="Valid"/>
    <s v="Valid"/>
    <s v="Outlier"/>
  </r>
  <r>
    <s v="USR-101371"/>
    <d v="2025-03-07T00:00:00"/>
    <x v="1"/>
    <x v="0"/>
    <x v="1"/>
    <x v="1"/>
    <x v="1"/>
    <n v="0"/>
    <n v="0"/>
    <n v="0"/>
    <n v="0"/>
    <n v="0"/>
    <n v="1"/>
    <n v="0"/>
    <m/>
    <n v="60.6"/>
    <s v="Unique"/>
    <s v="Valid"/>
    <s v="Valid"/>
    <s v="Valid"/>
    <s v="Valid"/>
    <s v="Valid"/>
    <s v="Outlier"/>
  </r>
  <r>
    <s v="USR-101372"/>
    <d v="2025-03-30T00:00:00"/>
    <x v="1"/>
    <x v="2"/>
    <x v="0"/>
    <x v="1"/>
    <x v="1"/>
    <n v="1"/>
    <n v="1"/>
    <n v="1"/>
    <n v="0"/>
    <n v="0"/>
    <n v="0"/>
    <n v="0"/>
    <m/>
    <n v="76.599999999999994"/>
    <s v="Unique"/>
    <s v="Valid"/>
    <s v="Valid"/>
    <s v="Valid"/>
    <s v="Valid"/>
    <s v="Valid"/>
    <s v="Outlier"/>
  </r>
  <r>
    <s v="USR-101373"/>
    <d v="2025-05-05T00:00:00"/>
    <x v="1"/>
    <x v="2"/>
    <x v="0"/>
    <x v="2"/>
    <x v="1"/>
    <n v="1"/>
    <n v="1"/>
    <n v="1"/>
    <n v="0"/>
    <n v="0"/>
    <n v="0"/>
    <n v="0"/>
    <m/>
    <n v="54.4"/>
    <s v="Unique"/>
    <s v="Valid"/>
    <s v="Valid"/>
    <s v="Valid"/>
    <s v="Valid"/>
    <s v="Valid"/>
    <s v="Outlier"/>
  </r>
  <r>
    <s v="USR-101374"/>
    <d v="2025-04-11T00:00:00"/>
    <x v="1"/>
    <x v="3"/>
    <x v="1"/>
    <x v="4"/>
    <x v="1"/>
    <n v="1"/>
    <n v="0"/>
    <n v="0"/>
    <n v="0"/>
    <n v="0"/>
    <n v="0"/>
    <n v="0"/>
    <m/>
    <n v="31.2"/>
    <s v="Unique"/>
    <s v="Valid"/>
    <s v="Valid"/>
    <s v="Valid"/>
    <s v="Valid"/>
    <s v="Valid"/>
    <s v="Outlier"/>
  </r>
  <r>
    <s v="USR-101375"/>
    <d v="2025-03-25T00:00:00"/>
    <x v="1"/>
    <x v="1"/>
    <x v="0"/>
    <x v="0"/>
    <x v="2"/>
    <n v="1"/>
    <n v="0"/>
    <n v="0"/>
    <n v="0"/>
    <n v="0"/>
    <n v="0"/>
    <n v="0"/>
    <m/>
    <n v="72.400000000000006"/>
    <s v="Unique"/>
    <s v="Valid"/>
    <s v="Valid"/>
    <s v="Valid"/>
    <s v="Valid"/>
    <s v="Valid"/>
    <s v="Outlier"/>
  </r>
  <r>
    <s v="USR-101376"/>
    <d v="2025-03-24T00:00:00"/>
    <x v="1"/>
    <x v="0"/>
    <x v="1"/>
    <x v="1"/>
    <x v="2"/>
    <n v="1"/>
    <n v="0"/>
    <n v="0"/>
    <n v="0"/>
    <n v="0"/>
    <n v="0"/>
    <n v="0"/>
    <m/>
    <n v="74.5"/>
    <s v="Unique"/>
    <s v="Valid"/>
    <s v="Valid"/>
    <s v="Valid"/>
    <s v="Valid"/>
    <s v="Valid"/>
    <s v="Outlier"/>
  </r>
  <r>
    <s v="USR-101377"/>
    <d v="2025-04-27T00:00:00"/>
    <x v="1"/>
    <x v="2"/>
    <x v="1"/>
    <x v="1"/>
    <x v="0"/>
    <n v="0"/>
    <n v="0"/>
    <n v="0"/>
    <n v="0"/>
    <n v="0"/>
    <n v="0"/>
    <n v="0"/>
    <m/>
    <n v="52.6"/>
    <s v="Unique"/>
    <s v="Valid"/>
    <s v="Valid"/>
    <s v="Valid"/>
    <s v="Valid"/>
    <s v="Valid"/>
    <s v="Outlier"/>
  </r>
  <r>
    <s v="USR-101378"/>
    <d v="2025-01-25T00:00:00"/>
    <x v="1"/>
    <x v="0"/>
    <x v="0"/>
    <x v="2"/>
    <x v="1"/>
    <n v="1"/>
    <n v="0"/>
    <n v="0"/>
    <n v="0"/>
    <n v="0"/>
    <n v="0"/>
    <n v="0"/>
    <m/>
    <n v="75.400000000000006"/>
    <s v="Unique"/>
    <s v="Valid"/>
    <s v="Valid"/>
    <s v="Valid"/>
    <s v="Valid"/>
    <s v="Valid"/>
    <s v="Outlier"/>
  </r>
  <r>
    <s v="USR-101379"/>
    <d v="2025-02-17T00:00:00"/>
    <x v="1"/>
    <x v="0"/>
    <x v="2"/>
    <x v="4"/>
    <x v="0"/>
    <n v="1"/>
    <n v="1"/>
    <n v="1"/>
    <n v="1"/>
    <n v="751.33"/>
    <n v="0"/>
    <n v="0"/>
    <n v="9"/>
    <n v="34"/>
    <s v="Unique"/>
    <s v="Valid"/>
    <s v="Valid"/>
    <s v="Valid"/>
    <s v="Valid"/>
    <s v="Valid"/>
    <s v="Outlier"/>
  </r>
  <r>
    <s v="USR-101380"/>
    <d v="2025-04-13T00:00:00"/>
    <x v="1"/>
    <x v="3"/>
    <x v="0"/>
    <x v="1"/>
    <x v="1"/>
    <n v="1"/>
    <n v="0"/>
    <n v="0"/>
    <n v="0"/>
    <n v="0"/>
    <n v="0"/>
    <n v="0"/>
    <m/>
    <n v="67.099999999999994"/>
    <s v="Unique"/>
    <s v="Valid"/>
    <s v="Valid"/>
    <s v="Valid"/>
    <s v="Valid"/>
    <s v="Valid"/>
    <s v="Outlier"/>
  </r>
  <r>
    <s v="USR-101381"/>
    <d v="2025-05-03T00:00:00"/>
    <x v="1"/>
    <x v="1"/>
    <x v="0"/>
    <x v="2"/>
    <x v="2"/>
    <n v="1"/>
    <n v="0"/>
    <n v="0"/>
    <n v="0"/>
    <n v="0"/>
    <n v="0"/>
    <n v="0"/>
    <m/>
    <n v="37.299999999999997"/>
    <s v="Unique"/>
    <s v="Valid"/>
    <s v="Valid"/>
    <s v="Valid"/>
    <s v="Valid"/>
    <s v="Valid"/>
    <s v="Outlier"/>
  </r>
  <r>
    <s v="USR-101382"/>
    <d v="2025-04-29T00:00:00"/>
    <x v="1"/>
    <x v="1"/>
    <x v="1"/>
    <x v="0"/>
    <x v="1"/>
    <n v="1"/>
    <n v="0"/>
    <n v="0"/>
    <n v="0"/>
    <n v="0"/>
    <n v="0"/>
    <n v="0"/>
    <m/>
    <n v="54.7"/>
    <s v="Unique"/>
    <s v="Valid"/>
    <s v="Valid"/>
    <s v="Valid"/>
    <s v="Valid"/>
    <s v="Valid"/>
    <s v="Outlier"/>
  </r>
  <r>
    <s v="USR-101383"/>
    <d v="2025-05-03T00:00:00"/>
    <x v="1"/>
    <x v="2"/>
    <x v="0"/>
    <x v="2"/>
    <x v="1"/>
    <n v="1"/>
    <n v="0"/>
    <n v="0"/>
    <n v="0"/>
    <n v="0"/>
    <n v="0"/>
    <n v="0"/>
    <m/>
    <n v="51.8"/>
    <s v="Unique"/>
    <s v="Valid"/>
    <s v="Valid"/>
    <s v="Valid"/>
    <s v="Valid"/>
    <s v="Valid"/>
    <s v="Outlier"/>
  </r>
  <r>
    <s v="USR-101384"/>
    <d v="2025-04-28T00:00:00"/>
    <x v="1"/>
    <x v="1"/>
    <x v="1"/>
    <x v="2"/>
    <x v="1"/>
    <n v="0"/>
    <n v="0"/>
    <n v="0"/>
    <n v="0"/>
    <n v="0"/>
    <n v="0"/>
    <n v="0"/>
    <m/>
    <n v="49.2"/>
    <s v="Unique"/>
    <s v="Valid"/>
    <s v="Valid"/>
    <s v="Valid"/>
    <s v="Valid"/>
    <s v="Valid"/>
    <s v="Outlier"/>
  </r>
  <r>
    <s v="USR-101385"/>
    <d v="2025-01-21T00:00:00"/>
    <x v="1"/>
    <x v="1"/>
    <x v="1"/>
    <x v="1"/>
    <x v="1"/>
    <n v="1"/>
    <n v="0"/>
    <n v="0"/>
    <n v="0"/>
    <n v="0"/>
    <n v="2"/>
    <n v="0"/>
    <m/>
    <n v="58.8"/>
    <s v="Unique"/>
    <s v="Valid"/>
    <s v="Valid"/>
    <s v="Valid"/>
    <s v="Valid"/>
    <s v="Valid"/>
    <s v="Outlier"/>
  </r>
  <r>
    <s v="USR-101386"/>
    <d v="2025-01-21T00:00:00"/>
    <x v="1"/>
    <x v="0"/>
    <x v="2"/>
    <x v="2"/>
    <x v="0"/>
    <n v="0"/>
    <n v="0"/>
    <n v="0"/>
    <n v="0"/>
    <n v="0"/>
    <n v="1"/>
    <n v="0"/>
    <m/>
    <n v="59.1"/>
    <s v="Unique"/>
    <s v="Valid"/>
    <s v="Valid"/>
    <s v="Valid"/>
    <s v="Valid"/>
    <s v="Valid"/>
    <s v="Outlier"/>
  </r>
  <r>
    <s v="USR-101387"/>
    <d v="2025-05-21T00:00:00"/>
    <x v="1"/>
    <x v="1"/>
    <x v="0"/>
    <x v="2"/>
    <x v="1"/>
    <n v="1"/>
    <n v="0"/>
    <n v="0"/>
    <n v="0"/>
    <n v="0"/>
    <n v="2"/>
    <n v="0"/>
    <m/>
    <n v="49.6"/>
    <s v="Unique"/>
    <s v="Valid"/>
    <s v="Valid"/>
    <s v="Valid"/>
    <s v="Valid"/>
    <s v="Valid"/>
    <s v="Outlier"/>
  </r>
  <r>
    <s v="USR-101388"/>
    <d v="2025-01-05T00:00:00"/>
    <x v="1"/>
    <x v="0"/>
    <x v="1"/>
    <x v="3"/>
    <x v="1"/>
    <n v="0"/>
    <n v="0"/>
    <n v="0"/>
    <n v="0"/>
    <n v="0"/>
    <n v="0"/>
    <n v="0"/>
    <m/>
    <n v="58.2"/>
    <s v="Unique"/>
    <s v="Valid"/>
    <s v="Valid"/>
    <s v="Valid"/>
    <s v="Valid"/>
    <s v="Valid"/>
    <s v="Outlier"/>
  </r>
  <r>
    <s v="USR-101389"/>
    <d v="2025-03-06T00:00:00"/>
    <x v="1"/>
    <x v="3"/>
    <x v="0"/>
    <x v="1"/>
    <x v="1"/>
    <n v="1"/>
    <n v="0"/>
    <n v="0"/>
    <n v="0"/>
    <n v="0"/>
    <n v="0"/>
    <n v="0"/>
    <m/>
    <n v="66.8"/>
    <s v="Unique"/>
    <s v="Valid"/>
    <s v="Valid"/>
    <s v="Valid"/>
    <s v="Valid"/>
    <s v="Valid"/>
    <s v="Outlier"/>
  </r>
  <r>
    <s v="USR-101390"/>
    <d v="2025-04-18T00:00:00"/>
    <x v="1"/>
    <x v="0"/>
    <x v="1"/>
    <x v="2"/>
    <x v="1"/>
    <n v="1"/>
    <n v="0"/>
    <n v="0"/>
    <n v="0"/>
    <n v="0"/>
    <n v="3"/>
    <n v="0"/>
    <m/>
    <n v="58.3"/>
    <s v="Unique"/>
    <s v="Valid"/>
    <s v="Valid"/>
    <s v="Valid"/>
    <s v="Valid"/>
    <s v="Valid"/>
    <s v="Outlier"/>
  </r>
  <r>
    <s v="USR-101391"/>
    <d v="2025-04-15T00:00:00"/>
    <x v="1"/>
    <x v="1"/>
    <x v="1"/>
    <x v="1"/>
    <x v="0"/>
    <n v="1"/>
    <n v="1"/>
    <n v="1"/>
    <n v="0"/>
    <n v="0"/>
    <n v="0"/>
    <n v="0"/>
    <m/>
    <n v="38.5"/>
    <s v="Unique"/>
    <s v="Valid"/>
    <s v="Valid"/>
    <s v="Valid"/>
    <s v="Valid"/>
    <s v="Valid"/>
    <s v="Outlier"/>
  </r>
  <r>
    <s v="USR-101392"/>
    <d v="2025-02-10T00:00:00"/>
    <x v="1"/>
    <x v="2"/>
    <x v="1"/>
    <x v="2"/>
    <x v="1"/>
    <n v="1"/>
    <n v="0"/>
    <n v="0"/>
    <n v="0"/>
    <n v="0"/>
    <n v="0"/>
    <n v="0"/>
    <m/>
    <n v="76.900000000000006"/>
    <s v="Unique"/>
    <s v="Valid"/>
    <s v="Valid"/>
    <s v="Valid"/>
    <s v="Valid"/>
    <s v="Valid"/>
    <s v="Outlier"/>
  </r>
  <r>
    <s v="USR-101393"/>
    <d v="2025-05-08T00:00:00"/>
    <x v="1"/>
    <x v="2"/>
    <x v="1"/>
    <x v="1"/>
    <x v="1"/>
    <n v="1"/>
    <n v="0"/>
    <n v="0"/>
    <n v="0"/>
    <n v="0"/>
    <n v="0"/>
    <n v="0"/>
    <m/>
    <n v="54"/>
    <s v="Unique"/>
    <s v="Valid"/>
    <s v="Valid"/>
    <s v="Valid"/>
    <s v="Valid"/>
    <s v="Valid"/>
    <s v="Outlier"/>
  </r>
  <r>
    <s v="USR-101394"/>
    <d v="2025-05-28T00:00:00"/>
    <x v="1"/>
    <x v="2"/>
    <x v="2"/>
    <x v="1"/>
    <x v="1"/>
    <n v="1"/>
    <n v="0"/>
    <n v="0"/>
    <n v="0"/>
    <n v="0"/>
    <n v="0"/>
    <n v="0"/>
    <m/>
    <n v="70.599999999999994"/>
    <s v="Unique"/>
    <s v="Valid"/>
    <s v="Valid"/>
    <s v="Valid"/>
    <s v="Valid"/>
    <s v="Valid"/>
    <s v="Outlier"/>
  </r>
  <r>
    <s v="USR-101395"/>
    <d v="2025-04-25T00:00:00"/>
    <x v="1"/>
    <x v="0"/>
    <x v="2"/>
    <x v="3"/>
    <x v="2"/>
    <n v="1"/>
    <n v="1"/>
    <n v="1"/>
    <n v="0"/>
    <n v="0"/>
    <n v="1"/>
    <n v="0"/>
    <m/>
    <n v="69.400000000000006"/>
    <s v="Unique"/>
    <s v="Valid"/>
    <s v="Valid"/>
    <s v="Valid"/>
    <s v="Valid"/>
    <s v="Valid"/>
    <s v="Outlier"/>
  </r>
  <r>
    <s v="USR-101396"/>
    <d v="2025-02-11T00:00:00"/>
    <x v="1"/>
    <x v="3"/>
    <x v="1"/>
    <x v="5"/>
    <x v="2"/>
    <n v="1"/>
    <n v="1"/>
    <n v="1"/>
    <n v="1"/>
    <n v="1009.9"/>
    <n v="0"/>
    <n v="0"/>
    <n v="6"/>
    <n v="89.7"/>
    <s v="Unique"/>
    <s v="Valid"/>
    <s v="Valid"/>
    <s v="Valid"/>
    <s v="Valid"/>
    <s v="Valid"/>
    <s v="Outlier"/>
  </r>
  <r>
    <s v="USR-101397"/>
    <d v="2025-04-14T00:00:00"/>
    <x v="1"/>
    <x v="1"/>
    <x v="1"/>
    <x v="1"/>
    <x v="1"/>
    <n v="1"/>
    <n v="0"/>
    <n v="0"/>
    <n v="0"/>
    <n v="0"/>
    <n v="0"/>
    <n v="0"/>
    <m/>
    <n v="62.4"/>
    <s v="Unique"/>
    <s v="Valid"/>
    <s v="Valid"/>
    <s v="Valid"/>
    <s v="Valid"/>
    <s v="Valid"/>
    <s v="Outlier"/>
  </r>
  <r>
    <s v="USR-101398"/>
    <d v="2025-02-04T00:00:00"/>
    <x v="1"/>
    <x v="1"/>
    <x v="2"/>
    <x v="1"/>
    <x v="2"/>
    <n v="0"/>
    <n v="0"/>
    <n v="0"/>
    <n v="0"/>
    <n v="0"/>
    <n v="0"/>
    <n v="0"/>
    <m/>
    <n v="67.3"/>
    <s v="Unique"/>
    <s v="Valid"/>
    <s v="Valid"/>
    <s v="Valid"/>
    <s v="Valid"/>
    <s v="Valid"/>
    <s v="Outlier"/>
  </r>
  <r>
    <s v="USR-101399"/>
    <d v="2025-03-22T00:00:00"/>
    <x v="1"/>
    <x v="2"/>
    <x v="1"/>
    <x v="3"/>
    <x v="1"/>
    <n v="1"/>
    <n v="0"/>
    <n v="0"/>
    <n v="0"/>
    <n v="0"/>
    <n v="0"/>
    <n v="0"/>
    <m/>
    <n v="54.9"/>
    <s v="Unique"/>
    <s v="Valid"/>
    <s v="Valid"/>
    <s v="Valid"/>
    <s v="Valid"/>
    <s v="Valid"/>
    <s v="Outlier"/>
  </r>
  <r>
    <s v="USR-101400"/>
    <d v="2025-04-18T00:00:00"/>
    <x v="1"/>
    <x v="2"/>
    <x v="0"/>
    <x v="4"/>
    <x v="1"/>
    <n v="0"/>
    <n v="0"/>
    <n v="0"/>
    <n v="0"/>
    <n v="0"/>
    <n v="0"/>
    <n v="0"/>
    <m/>
    <n v="55.7"/>
    <s v="Unique"/>
    <s v="Valid"/>
    <s v="Valid"/>
    <s v="Valid"/>
    <s v="Valid"/>
    <s v="Valid"/>
    <s v="Outlier"/>
  </r>
  <r>
    <s v="USR-100917"/>
    <d v="2025-02-23T00:00:00"/>
    <x v="1"/>
    <x v="1"/>
    <x v="0"/>
    <x v="4"/>
    <x v="0"/>
    <n v="1"/>
    <n v="1"/>
    <n v="1"/>
    <n v="0"/>
    <n v="0"/>
    <n v="0"/>
    <n v="0"/>
    <m/>
    <n v="70.599999999999994"/>
    <s v="Duplicate"/>
    <s v="Valid"/>
    <s v="Valid"/>
    <s v="Valid"/>
    <s v="Valid"/>
    <s v="Valid"/>
    <s v="Outlier"/>
  </r>
  <r>
    <s v="USR-100433"/>
    <d v="2025-02-03T00:00:00"/>
    <x v="0"/>
    <x v="0"/>
    <x v="2"/>
    <x v="0"/>
    <x v="0"/>
    <n v="1"/>
    <n v="0"/>
    <n v="0"/>
    <n v="0"/>
    <n v="0"/>
    <n v="0"/>
    <n v="0"/>
    <m/>
    <n v="60.9"/>
    <s v="Duplicate"/>
    <s v="Valid"/>
    <s v="Valid"/>
    <s v="Valid"/>
    <s v="Valid"/>
    <s v="Valid"/>
    <s v="Outlier"/>
  </r>
  <r>
    <s v="USR-101362"/>
    <d v="2025-05-23T00:00:00"/>
    <x v="1"/>
    <x v="2"/>
    <x v="1"/>
    <x v="1"/>
    <x v="0"/>
    <n v="1"/>
    <n v="0"/>
    <n v="0"/>
    <n v="0"/>
    <n v="0"/>
    <n v="0"/>
    <n v="0"/>
    <m/>
    <n v="33.6"/>
    <s v="Duplicate"/>
    <s v="Valid"/>
    <s v="Valid"/>
    <s v="Valid"/>
    <s v="Valid"/>
    <s v="Valid"/>
    <s v="Outlier"/>
  </r>
  <r>
    <s v="USR-100096"/>
    <d v="2025-02-05T00:00:00"/>
    <x v="0"/>
    <x v="2"/>
    <x v="1"/>
    <x v="4"/>
    <x v="1"/>
    <n v="0"/>
    <n v="0"/>
    <n v="0"/>
    <n v="0"/>
    <n v="0"/>
    <n v="0"/>
    <n v="0"/>
    <m/>
    <n v="68"/>
    <s v="Duplicate"/>
    <s v="Valid"/>
    <s v="Valid"/>
    <s v="Valid"/>
    <s v="Valid"/>
    <s v="Valid"/>
    <s v="Outlier"/>
  </r>
  <r>
    <s v="USR-101210"/>
    <d v="2025-02-24T00:00:00"/>
    <x v="1"/>
    <x v="1"/>
    <x v="1"/>
    <x v="1"/>
    <x v="0"/>
    <n v="1"/>
    <n v="0"/>
    <n v="0"/>
    <n v="0"/>
    <n v="0"/>
    <n v="0"/>
    <n v="0"/>
    <m/>
    <n v="62"/>
    <s v="Duplicate"/>
    <s v="Valid"/>
    <s v="Valid"/>
    <s v="Valid"/>
    <s v="Valid"/>
    <s v="Valid"/>
    <s v="Outlier"/>
  </r>
  <r>
    <s v="USR-101232"/>
    <d v="2025-03-30T00:00:00"/>
    <x v="1"/>
    <x v="2"/>
    <x v="1"/>
    <x v="1"/>
    <x v="1"/>
    <n v="1"/>
    <n v="1"/>
    <n v="1"/>
    <n v="0"/>
    <n v="0"/>
    <n v="1"/>
    <n v="0"/>
    <m/>
    <n v="72.5"/>
    <s v="Duplicate"/>
    <s v="Valid"/>
    <s v="Valid"/>
    <s v="Valid"/>
    <s v="Valid"/>
    <s v="Valid"/>
    <s v="Outlier"/>
  </r>
  <r>
    <s v="USR-101059"/>
    <d v="2025-05-16T00:00:00"/>
    <x v="1"/>
    <x v="3"/>
    <x v="1"/>
    <x v="1"/>
    <x v="1"/>
    <n v="1"/>
    <n v="0"/>
    <n v="0"/>
    <n v="0"/>
    <n v="0"/>
    <n v="0"/>
    <n v="0"/>
    <m/>
    <n v="70.3"/>
    <s v="Duplicate"/>
    <s v="Valid"/>
    <s v="Valid"/>
    <s v="Valid"/>
    <s v="Valid"/>
    <s v="Valid"/>
    <s v="Outlier"/>
  </r>
  <r>
    <s v="USR-100541"/>
    <d v="2025-05-22T00:00:00"/>
    <x v="0"/>
    <x v="0"/>
    <x v="1"/>
    <x v="2"/>
    <x v="0"/>
    <n v="1"/>
    <n v="1"/>
    <n v="0"/>
    <n v="0"/>
    <n v="0"/>
    <n v="0"/>
    <n v="0"/>
    <m/>
    <n v="39.9"/>
    <s v="Duplicate"/>
    <s v="Valid"/>
    <s v="Valid"/>
    <s v="Valid"/>
    <s v="Valid"/>
    <s v="Valid"/>
    <s v="Outli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B0AD1-ABB9-4F5C-B99C-5DEA8F4DBCA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9DCA5-7E2A-4B6D-B935-20B05B6A49F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9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DAEC5-C0B1-4946-8393-F29FDCDF7D8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1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755CB-36D9-4452-B9AB-016F6989C65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23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09"/>
  <sheetViews>
    <sheetView topLeftCell="KO1" workbookViewId="0">
      <selection sqref="A1:W1409"/>
    </sheetView>
  </sheetViews>
  <sheetFormatPr defaultRowHeight="13.8"/>
  <cols>
    <col min="1" max="16" width="16" customWidth="1"/>
  </cols>
  <sheetData>
    <row r="1" spans="1:23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1453</v>
      </c>
      <c r="R1" t="s">
        <v>1451</v>
      </c>
      <c r="S1" t="s">
        <v>1452</v>
      </c>
      <c r="T1" t="s">
        <v>1454</v>
      </c>
      <c r="U1" t="s">
        <v>1455</v>
      </c>
      <c r="V1" t="s">
        <v>1456</v>
      </c>
      <c r="W1" t="s">
        <v>1479</v>
      </c>
    </row>
    <row r="2" spans="1:23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  <c r="Q2" t="str">
        <f>IF(COUNTIF($A$2:A2,A2)&gt;1,"Duplicate","Unique")</f>
        <v>Unique</v>
      </c>
      <c r="R2" t="str">
        <f>IF(OR(H2=0,H2=1),"Valid","Invalid")</f>
        <v>Valid</v>
      </c>
      <c r="S2" t="str">
        <f>IF(OR(I2=0,I2=1),"Valid","Invalid")</f>
        <v>Valid</v>
      </c>
      <c r="T2" t="str">
        <f>IF(OR(J2=0,J2=1),"Valid","Invalid")</f>
        <v>Valid</v>
      </c>
      <c r="U2" t="str">
        <f>IF(OR(K2=0,K2=1),"Valid","Invalid")</f>
        <v>Valid</v>
      </c>
      <c r="V2" t="str">
        <f>IF(OR(N2=0,N2=1),"Valid","Invalid")</f>
        <v>Valid</v>
      </c>
      <c r="W2" t="str">
        <f>IF(OR(L2&lt;$B$23,L2&gt;$B$24),"Outlier","Normal")</f>
        <v>Outlier</v>
      </c>
    </row>
    <row r="3" spans="1:23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  <c r="Q3" t="str">
        <f>IF(COUNTIF($A$2:A3,A3)&gt;1,"Duplicate","Unique")</f>
        <v>Unique</v>
      </c>
      <c r="R3" t="str">
        <f t="shared" ref="R3:R66" si="0">IF(OR(H3=0,H3=1),"Valid","Invalid")</f>
        <v>Valid</v>
      </c>
      <c r="S3" t="str">
        <f t="shared" ref="S3:S66" si="1">IF(OR(I3=0,I3=1),"Valid","Invalid")</f>
        <v>Valid</v>
      </c>
      <c r="T3" t="str">
        <f t="shared" ref="T3:T66" si="2">IF(OR(J3=0,J3=1),"Valid","Invalid")</f>
        <v>Valid</v>
      </c>
      <c r="U3" t="str">
        <f t="shared" ref="U3:U66" si="3">IF(OR(K3=0,K3=1),"Valid","Invalid")</f>
        <v>Valid</v>
      </c>
      <c r="V3" t="str">
        <f t="shared" ref="V3:V66" si="4">IF(OR(N3=0,N3=1),"Valid","Invalid")</f>
        <v>Valid</v>
      </c>
      <c r="W3" t="str">
        <f t="shared" ref="W3:W66" si="5">IF(OR(L3&lt;$B$23,L3&gt;$B$24),"Outlier","Normal")</f>
        <v>Outlier</v>
      </c>
    </row>
    <row r="4" spans="1:23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  <c r="Q4" t="str">
        <f>IF(COUNTIF($A$2:A4,A4)&gt;1,"Duplicate","Unique")</f>
        <v>Unique</v>
      </c>
      <c r="R4" t="str">
        <f t="shared" si="0"/>
        <v>Valid</v>
      </c>
      <c r="S4" t="str">
        <f t="shared" si="1"/>
        <v>Valid</v>
      </c>
      <c r="T4" t="str">
        <f t="shared" si="2"/>
        <v>Valid</v>
      </c>
      <c r="U4" t="str">
        <f t="shared" si="3"/>
        <v>Valid</v>
      </c>
      <c r="V4" t="str">
        <f t="shared" si="4"/>
        <v>Valid</v>
      </c>
      <c r="W4" t="str">
        <f t="shared" si="5"/>
        <v>Outlier</v>
      </c>
    </row>
    <row r="5" spans="1:23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  <c r="Q5" t="str">
        <f>IF(COUNTIF($A$2:A5,A5)&gt;1,"Duplicate","Unique")</f>
        <v>Unique</v>
      </c>
      <c r="R5" t="str">
        <f t="shared" si="0"/>
        <v>Valid</v>
      </c>
      <c r="S5" t="str">
        <f t="shared" si="1"/>
        <v>Valid</v>
      </c>
      <c r="T5" t="str">
        <f t="shared" si="2"/>
        <v>Valid</v>
      </c>
      <c r="U5" t="str">
        <f t="shared" si="3"/>
        <v>Valid</v>
      </c>
      <c r="V5" t="str">
        <f t="shared" si="4"/>
        <v>Valid</v>
      </c>
      <c r="W5" t="str">
        <f t="shared" si="5"/>
        <v>Outlier</v>
      </c>
    </row>
    <row r="6" spans="1:23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  <c r="Q6" t="str">
        <f>IF(COUNTIF($A$2:A6,A6)&gt;1,"Duplicate","Unique")</f>
        <v>Unique</v>
      </c>
      <c r="R6" t="str">
        <f t="shared" si="0"/>
        <v>Valid</v>
      </c>
      <c r="S6" t="str">
        <f t="shared" si="1"/>
        <v>Valid</v>
      </c>
      <c r="T6" t="str">
        <f t="shared" si="2"/>
        <v>Valid</v>
      </c>
      <c r="U6" t="str">
        <f t="shared" si="3"/>
        <v>Valid</v>
      </c>
      <c r="V6" t="str">
        <f t="shared" si="4"/>
        <v>Valid</v>
      </c>
      <c r="W6" t="str">
        <f t="shared" si="5"/>
        <v>Outlier</v>
      </c>
    </row>
    <row r="7" spans="1:23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  <c r="Q7" t="str">
        <f>IF(COUNTIF($A$2:A7,A7)&gt;1,"Duplicate","Unique")</f>
        <v>Unique</v>
      </c>
      <c r="R7" t="str">
        <f t="shared" si="0"/>
        <v>Valid</v>
      </c>
      <c r="S7" t="str">
        <f t="shared" si="1"/>
        <v>Valid</v>
      </c>
      <c r="T7" t="str">
        <f t="shared" si="2"/>
        <v>Valid</v>
      </c>
      <c r="U7" t="str">
        <f t="shared" si="3"/>
        <v>Valid</v>
      </c>
      <c r="V7" t="str">
        <f t="shared" si="4"/>
        <v>Valid</v>
      </c>
      <c r="W7" t="str">
        <f t="shared" si="5"/>
        <v>Outlier</v>
      </c>
    </row>
    <row r="8" spans="1:23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  <c r="Q8" t="str">
        <f>IF(COUNTIF($A$2:A8,A8)&gt;1,"Duplicate","Unique")</f>
        <v>Unique</v>
      </c>
      <c r="R8" t="str">
        <f t="shared" si="0"/>
        <v>Valid</v>
      </c>
      <c r="S8" t="str">
        <f t="shared" si="1"/>
        <v>Valid</v>
      </c>
      <c r="T8" t="str">
        <f t="shared" si="2"/>
        <v>Valid</v>
      </c>
      <c r="U8" t="str">
        <f t="shared" si="3"/>
        <v>Valid</v>
      </c>
      <c r="V8" t="str">
        <f t="shared" si="4"/>
        <v>Valid</v>
      </c>
      <c r="W8" t="str">
        <f t="shared" si="5"/>
        <v>Outlier</v>
      </c>
    </row>
    <row r="9" spans="1:23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  <c r="Q9" t="str">
        <f>IF(COUNTIF($A$2:A9,A9)&gt;1,"Duplicate","Unique")</f>
        <v>Unique</v>
      </c>
      <c r="R9" t="str">
        <f t="shared" si="0"/>
        <v>Valid</v>
      </c>
      <c r="S9" t="str">
        <f t="shared" si="1"/>
        <v>Valid</v>
      </c>
      <c r="T9" t="str">
        <f t="shared" si="2"/>
        <v>Valid</v>
      </c>
      <c r="U9" t="str">
        <f t="shared" si="3"/>
        <v>Valid</v>
      </c>
      <c r="V9" t="str">
        <f t="shared" si="4"/>
        <v>Valid</v>
      </c>
      <c r="W9" t="str">
        <f t="shared" si="5"/>
        <v>Outlier</v>
      </c>
    </row>
    <row r="10" spans="1:23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  <c r="Q10" t="str">
        <f>IF(COUNTIF($A$2:A10,A10)&gt;1,"Duplicate","Unique")</f>
        <v>Unique</v>
      </c>
      <c r="R10" t="str">
        <f t="shared" si="0"/>
        <v>Valid</v>
      </c>
      <c r="S10" t="str">
        <f t="shared" si="1"/>
        <v>Valid</v>
      </c>
      <c r="T10" t="str">
        <f t="shared" si="2"/>
        <v>Valid</v>
      </c>
      <c r="U10" t="str">
        <f t="shared" si="3"/>
        <v>Valid</v>
      </c>
      <c r="V10" t="str">
        <f t="shared" si="4"/>
        <v>Valid</v>
      </c>
      <c r="W10" t="str">
        <f t="shared" si="5"/>
        <v>Outlier</v>
      </c>
    </row>
    <row r="11" spans="1:23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  <c r="Q11" t="str">
        <f>IF(COUNTIF($A$2:A11,A11)&gt;1,"Duplicate","Unique")</f>
        <v>Unique</v>
      </c>
      <c r="R11" t="str">
        <f t="shared" si="0"/>
        <v>Valid</v>
      </c>
      <c r="S11" t="str">
        <f t="shared" si="1"/>
        <v>Valid</v>
      </c>
      <c r="T11" t="str">
        <f t="shared" si="2"/>
        <v>Valid</v>
      </c>
      <c r="U11" t="str">
        <f t="shared" si="3"/>
        <v>Valid</v>
      </c>
      <c r="V11" t="str">
        <f t="shared" si="4"/>
        <v>Valid</v>
      </c>
      <c r="W11" t="str">
        <f t="shared" si="5"/>
        <v>Outlier</v>
      </c>
    </row>
    <row r="12" spans="1:23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  <c r="Q12" t="str">
        <f>IF(COUNTIF($A$2:A12,A12)&gt;1,"Duplicate","Unique")</f>
        <v>Unique</v>
      </c>
      <c r="R12" t="str">
        <f t="shared" si="0"/>
        <v>Valid</v>
      </c>
      <c r="S12" t="str">
        <f t="shared" si="1"/>
        <v>Valid</v>
      </c>
      <c r="T12" t="str">
        <f t="shared" si="2"/>
        <v>Valid</v>
      </c>
      <c r="U12" t="str">
        <f t="shared" si="3"/>
        <v>Valid</v>
      </c>
      <c r="V12" t="str">
        <f t="shared" si="4"/>
        <v>Valid</v>
      </c>
      <c r="W12" t="str">
        <f t="shared" si="5"/>
        <v>Outlier</v>
      </c>
    </row>
    <row r="13" spans="1:23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  <c r="Q13" t="str">
        <f>IF(COUNTIF($A$2:A13,A13)&gt;1,"Duplicate","Unique")</f>
        <v>Unique</v>
      </c>
      <c r="R13" t="str">
        <f t="shared" si="0"/>
        <v>Valid</v>
      </c>
      <c r="S13" t="str">
        <f t="shared" si="1"/>
        <v>Valid</v>
      </c>
      <c r="T13" t="str">
        <f t="shared" si="2"/>
        <v>Valid</v>
      </c>
      <c r="U13" t="str">
        <f t="shared" si="3"/>
        <v>Valid</v>
      </c>
      <c r="V13" t="str">
        <f t="shared" si="4"/>
        <v>Valid</v>
      </c>
      <c r="W13" t="str">
        <f t="shared" si="5"/>
        <v>Outlier</v>
      </c>
    </row>
    <row r="14" spans="1:23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  <c r="Q14" t="str">
        <f>IF(COUNTIF($A$2:A14,A14)&gt;1,"Duplicate","Unique")</f>
        <v>Unique</v>
      </c>
      <c r="R14" t="str">
        <f t="shared" si="0"/>
        <v>Valid</v>
      </c>
      <c r="S14" t="str">
        <f t="shared" si="1"/>
        <v>Valid</v>
      </c>
      <c r="T14" t="str">
        <f t="shared" si="2"/>
        <v>Valid</v>
      </c>
      <c r="U14" t="str">
        <f t="shared" si="3"/>
        <v>Valid</v>
      </c>
      <c r="V14" t="str">
        <f t="shared" si="4"/>
        <v>Valid</v>
      </c>
      <c r="W14" t="str">
        <f t="shared" si="5"/>
        <v>Outlier</v>
      </c>
    </row>
    <row r="15" spans="1:23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  <c r="Q15" t="str">
        <f>IF(COUNTIF($A$2:A15,A15)&gt;1,"Duplicate","Unique")</f>
        <v>Unique</v>
      </c>
      <c r="R15" t="str">
        <f t="shared" si="0"/>
        <v>Valid</v>
      </c>
      <c r="S15" t="str">
        <f t="shared" si="1"/>
        <v>Valid</v>
      </c>
      <c r="T15" t="str">
        <f t="shared" si="2"/>
        <v>Valid</v>
      </c>
      <c r="U15" t="str">
        <f t="shared" si="3"/>
        <v>Valid</v>
      </c>
      <c r="V15" t="str">
        <f t="shared" si="4"/>
        <v>Valid</v>
      </c>
      <c r="W15" t="str">
        <f t="shared" si="5"/>
        <v>Outlier</v>
      </c>
    </row>
    <row r="16" spans="1:23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  <c r="Q16" t="str">
        <f>IF(COUNTIF($A$2:A16,A16)&gt;1,"Duplicate","Unique")</f>
        <v>Unique</v>
      </c>
      <c r="R16" t="str">
        <f t="shared" si="0"/>
        <v>Valid</v>
      </c>
      <c r="S16" t="str">
        <f t="shared" si="1"/>
        <v>Valid</v>
      </c>
      <c r="T16" t="str">
        <f t="shared" si="2"/>
        <v>Valid</v>
      </c>
      <c r="U16" t="str">
        <f t="shared" si="3"/>
        <v>Valid</v>
      </c>
      <c r="V16" t="str">
        <f t="shared" si="4"/>
        <v>Valid</v>
      </c>
      <c r="W16" t="str">
        <f t="shared" si="5"/>
        <v>Outlier</v>
      </c>
    </row>
    <row r="17" spans="1:23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  <c r="Q17" t="str">
        <f>IF(COUNTIF($A$2:A17,A17)&gt;1,"Duplicate","Unique")</f>
        <v>Unique</v>
      </c>
      <c r="R17" t="str">
        <f t="shared" si="0"/>
        <v>Valid</v>
      </c>
      <c r="S17" t="str">
        <f t="shared" si="1"/>
        <v>Valid</v>
      </c>
      <c r="T17" t="str">
        <f t="shared" si="2"/>
        <v>Valid</v>
      </c>
      <c r="U17" t="str">
        <f t="shared" si="3"/>
        <v>Valid</v>
      </c>
      <c r="V17" t="str">
        <f t="shared" si="4"/>
        <v>Valid</v>
      </c>
      <c r="W17" t="str">
        <f t="shared" si="5"/>
        <v>Outlier</v>
      </c>
    </row>
    <row r="18" spans="1:23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  <c r="Q18" t="str">
        <f>IF(COUNTIF($A$2:A18,A18)&gt;1,"Duplicate","Unique")</f>
        <v>Unique</v>
      </c>
      <c r="R18" t="str">
        <f t="shared" si="0"/>
        <v>Valid</v>
      </c>
      <c r="S18" t="str">
        <f t="shared" si="1"/>
        <v>Valid</v>
      </c>
      <c r="T18" t="str">
        <f t="shared" si="2"/>
        <v>Valid</v>
      </c>
      <c r="U18" t="str">
        <f t="shared" si="3"/>
        <v>Valid</v>
      </c>
      <c r="V18" t="str">
        <f t="shared" si="4"/>
        <v>Valid</v>
      </c>
      <c r="W18" t="str">
        <f t="shared" si="5"/>
        <v>Outlier</v>
      </c>
    </row>
    <row r="19" spans="1:23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  <c r="Q19" t="str">
        <f>IF(COUNTIF($A$2:A19,A19)&gt;1,"Duplicate","Unique")</f>
        <v>Unique</v>
      </c>
      <c r="R19" t="str">
        <f t="shared" si="0"/>
        <v>Valid</v>
      </c>
      <c r="S19" t="str">
        <f t="shared" si="1"/>
        <v>Valid</v>
      </c>
      <c r="T19" t="str">
        <f t="shared" si="2"/>
        <v>Valid</v>
      </c>
      <c r="U19" t="str">
        <f t="shared" si="3"/>
        <v>Valid</v>
      </c>
      <c r="V19" t="str">
        <f t="shared" si="4"/>
        <v>Valid</v>
      </c>
      <c r="W19" t="str">
        <f t="shared" si="5"/>
        <v>Outlier</v>
      </c>
    </row>
    <row r="20" spans="1:23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  <c r="Q20" t="str">
        <f>IF(COUNTIF($A$2:A20,A20)&gt;1,"Duplicate","Unique")</f>
        <v>Unique</v>
      </c>
      <c r="R20" t="str">
        <f t="shared" si="0"/>
        <v>Valid</v>
      </c>
      <c r="S20" t="str">
        <f t="shared" si="1"/>
        <v>Valid</v>
      </c>
      <c r="T20" t="str">
        <f t="shared" si="2"/>
        <v>Valid</v>
      </c>
      <c r="U20" t="str">
        <f t="shared" si="3"/>
        <v>Valid</v>
      </c>
      <c r="V20" t="str">
        <f t="shared" si="4"/>
        <v>Valid</v>
      </c>
      <c r="W20" t="str">
        <f t="shared" si="5"/>
        <v>Outlier</v>
      </c>
    </row>
    <row r="21" spans="1:23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  <c r="Q21" t="str">
        <f>IF(COUNTIF($A$2:A21,A21)&gt;1,"Duplicate","Unique")</f>
        <v>Unique</v>
      </c>
      <c r="R21" t="str">
        <f t="shared" si="0"/>
        <v>Valid</v>
      </c>
      <c r="S21" t="str">
        <f t="shared" si="1"/>
        <v>Valid</v>
      </c>
      <c r="T21" t="str">
        <f t="shared" si="2"/>
        <v>Valid</v>
      </c>
      <c r="U21" t="str">
        <f t="shared" si="3"/>
        <v>Valid</v>
      </c>
      <c r="V21" t="str">
        <f t="shared" si="4"/>
        <v>Valid</v>
      </c>
      <c r="W21" t="str">
        <f t="shared" si="5"/>
        <v>Outlier</v>
      </c>
    </row>
    <row r="22" spans="1:23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  <c r="Q22" t="str">
        <f>IF(COUNTIF($A$2:A22,A22)&gt;1,"Duplicate","Unique")</f>
        <v>Unique</v>
      </c>
      <c r="R22" t="str">
        <f t="shared" si="0"/>
        <v>Valid</v>
      </c>
      <c r="S22" t="str">
        <f t="shared" si="1"/>
        <v>Valid</v>
      </c>
      <c r="T22" t="str">
        <f t="shared" si="2"/>
        <v>Valid</v>
      </c>
      <c r="U22" t="str">
        <f t="shared" si="3"/>
        <v>Valid</v>
      </c>
      <c r="V22" t="str">
        <f t="shared" si="4"/>
        <v>Valid</v>
      </c>
      <c r="W22" t="str">
        <f t="shared" si="5"/>
        <v>Outlier</v>
      </c>
    </row>
    <row r="23" spans="1:23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  <c r="Q23" t="str">
        <f>IF(COUNTIF($A$2:A23,A23)&gt;1,"Duplicate","Unique")</f>
        <v>Unique</v>
      </c>
      <c r="R23" t="str">
        <f t="shared" si="0"/>
        <v>Valid</v>
      </c>
      <c r="S23" t="str">
        <f t="shared" si="1"/>
        <v>Valid</v>
      </c>
      <c r="T23" t="str">
        <f t="shared" si="2"/>
        <v>Valid</v>
      </c>
      <c r="U23" t="str">
        <f t="shared" si="3"/>
        <v>Valid</v>
      </c>
      <c r="V23" t="str">
        <f t="shared" si="4"/>
        <v>Valid</v>
      </c>
      <c r="W23" t="str">
        <f t="shared" si="5"/>
        <v>Outlier</v>
      </c>
    </row>
    <row r="24" spans="1:23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  <c r="Q24" t="str">
        <f>IF(COUNTIF($A$2:A24,A24)&gt;1,"Duplicate","Unique")</f>
        <v>Unique</v>
      </c>
      <c r="R24" t="str">
        <f t="shared" si="0"/>
        <v>Valid</v>
      </c>
      <c r="S24" t="str">
        <f t="shared" si="1"/>
        <v>Valid</v>
      </c>
      <c r="T24" t="str">
        <f t="shared" si="2"/>
        <v>Valid</v>
      </c>
      <c r="U24" t="str">
        <f t="shared" si="3"/>
        <v>Valid</v>
      </c>
      <c r="V24" t="str">
        <f t="shared" si="4"/>
        <v>Valid</v>
      </c>
      <c r="W24" t="str">
        <f t="shared" si="5"/>
        <v>Outlier</v>
      </c>
    </row>
    <row r="25" spans="1:23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  <c r="Q25" t="str">
        <f>IF(COUNTIF($A$2:A25,A25)&gt;1,"Duplicate","Unique")</f>
        <v>Unique</v>
      </c>
      <c r="R25" t="str">
        <f t="shared" si="0"/>
        <v>Valid</v>
      </c>
      <c r="S25" t="str">
        <f t="shared" si="1"/>
        <v>Valid</v>
      </c>
      <c r="T25" t="str">
        <f t="shared" si="2"/>
        <v>Valid</v>
      </c>
      <c r="U25" t="str">
        <f t="shared" si="3"/>
        <v>Valid</v>
      </c>
      <c r="V25" t="str">
        <f t="shared" si="4"/>
        <v>Valid</v>
      </c>
      <c r="W25" t="str">
        <f t="shared" si="5"/>
        <v>Outlier</v>
      </c>
    </row>
    <row r="26" spans="1:23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  <c r="Q26" t="str">
        <f>IF(COUNTIF($A$2:A26,A26)&gt;1,"Duplicate","Unique")</f>
        <v>Unique</v>
      </c>
      <c r="R26" t="str">
        <f t="shared" si="0"/>
        <v>Valid</v>
      </c>
      <c r="S26" t="str">
        <f t="shared" si="1"/>
        <v>Valid</v>
      </c>
      <c r="T26" t="str">
        <f t="shared" si="2"/>
        <v>Valid</v>
      </c>
      <c r="U26" t="str">
        <f t="shared" si="3"/>
        <v>Valid</v>
      </c>
      <c r="V26" t="str">
        <f t="shared" si="4"/>
        <v>Valid</v>
      </c>
      <c r="W26" t="str">
        <f t="shared" si="5"/>
        <v>Outlier</v>
      </c>
    </row>
    <row r="27" spans="1:23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  <c r="Q27" t="str">
        <f>IF(COUNTIF($A$2:A27,A27)&gt;1,"Duplicate","Unique")</f>
        <v>Unique</v>
      </c>
      <c r="R27" t="str">
        <f t="shared" si="0"/>
        <v>Valid</v>
      </c>
      <c r="S27" t="str">
        <f t="shared" si="1"/>
        <v>Valid</v>
      </c>
      <c r="T27" t="str">
        <f t="shared" si="2"/>
        <v>Valid</v>
      </c>
      <c r="U27" t="str">
        <f t="shared" si="3"/>
        <v>Valid</v>
      </c>
      <c r="V27" t="str">
        <f t="shared" si="4"/>
        <v>Valid</v>
      </c>
      <c r="W27" t="str">
        <f t="shared" si="5"/>
        <v>Outlier</v>
      </c>
    </row>
    <row r="28" spans="1:23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  <c r="Q28" t="str">
        <f>IF(COUNTIF($A$2:A28,A28)&gt;1,"Duplicate","Unique")</f>
        <v>Unique</v>
      </c>
      <c r="R28" t="str">
        <f t="shared" si="0"/>
        <v>Valid</v>
      </c>
      <c r="S28" t="str">
        <f t="shared" si="1"/>
        <v>Valid</v>
      </c>
      <c r="T28" t="str">
        <f t="shared" si="2"/>
        <v>Valid</v>
      </c>
      <c r="U28" t="str">
        <f t="shared" si="3"/>
        <v>Valid</v>
      </c>
      <c r="V28" t="str">
        <f t="shared" si="4"/>
        <v>Valid</v>
      </c>
      <c r="W28" t="str">
        <f t="shared" si="5"/>
        <v>Outlier</v>
      </c>
    </row>
    <row r="29" spans="1:23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  <c r="Q29" t="str">
        <f>IF(COUNTIF($A$2:A29,A29)&gt;1,"Duplicate","Unique")</f>
        <v>Unique</v>
      </c>
      <c r="R29" t="str">
        <f t="shared" si="0"/>
        <v>Valid</v>
      </c>
      <c r="S29" t="str">
        <f t="shared" si="1"/>
        <v>Valid</v>
      </c>
      <c r="T29" t="str">
        <f t="shared" si="2"/>
        <v>Valid</v>
      </c>
      <c r="U29" t="str">
        <f t="shared" si="3"/>
        <v>Valid</v>
      </c>
      <c r="V29" t="str">
        <f t="shared" si="4"/>
        <v>Valid</v>
      </c>
      <c r="W29" t="str">
        <f t="shared" si="5"/>
        <v>Outlier</v>
      </c>
    </row>
    <row r="30" spans="1:23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  <c r="Q30" t="str">
        <f>IF(COUNTIF($A$2:A30,A30)&gt;1,"Duplicate","Unique")</f>
        <v>Unique</v>
      </c>
      <c r="R30" t="str">
        <f t="shared" si="0"/>
        <v>Valid</v>
      </c>
      <c r="S30" t="str">
        <f t="shared" si="1"/>
        <v>Valid</v>
      </c>
      <c r="T30" t="str">
        <f t="shared" si="2"/>
        <v>Valid</v>
      </c>
      <c r="U30" t="str">
        <f t="shared" si="3"/>
        <v>Valid</v>
      </c>
      <c r="V30" t="str">
        <f t="shared" si="4"/>
        <v>Valid</v>
      </c>
      <c r="W30" t="str">
        <f t="shared" si="5"/>
        <v>Outlier</v>
      </c>
    </row>
    <row r="31" spans="1:23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  <c r="Q31" t="str">
        <f>IF(COUNTIF($A$2:A31,A31)&gt;1,"Duplicate","Unique")</f>
        <v>Unique</v>
      </c>
      <c r="R31" t="str">
        <f t="shared" si="0"/>
        <v>Valid</v>
      </c>
      <c r="S31" t="str">
        <f t="shared" si="1"/>
        <v>Valid</v>
      </c>
      <c r="T31" t="str">
        <f t="shared" si="2"/>
        <v>Valid</v>
      </c>
      <c r="U31" t="str">
        <f t="shared" si="3"/>
        <v>Valid</v>
      </c>
      <c r="V31" t="str">
        <f t="shared" si="4"/>
        <v>Valid</v>
      </c>
      <c r="W31" t="str">
        <f t="shared" si="5"/>
        <v>Outlier</v>
      </c>
    </row>
    <row r="32" spans="1:23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  <c r="Q32" t="str">
        <f>IF(COUNTIF($A$2:A32,A32)&gt;1,"Duplicate","Unique")</f>
        <v>Unique</v>
      </c>
      <c r="R32" t="str">
        <f t="shared" si="0"/>
        <v>Valid</v>
      </c>
      <c r="S32" t="str">
        <f t="shared" si="1"/>
        <v>Valid</v>
      </c>
      <c r="T32" t="str">
        <f t="shared" si="2"/>
        <v>Valid</v>
      </c>
      <c r="U32" t="str">
        <f t="shared" si="3"/>
        <v>Valid</v>
      </c>
      <c r="V32" t="str">
        <f t="shared" si="4"/>
        <v>Valid</v>
      </c>
      <c r="W32" t="str">
        <f t="shared" si="5"/>
        <v>Outlier</v>
      </c>
    </row>
    <row r="33" spans="1:23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  <c r="Q33" t="str">
        <f>IF(COUNTIF($A$2:A33,A33)&gt;1,"Duplicate","Unique")</f>
        <v>Unique</v>
      </c>
      <c r="R33" t="str">
        <f t="shared" si="0"/>
        <v>Valid</v>
      </c>
      <c r="S33" t="str">
        <f t="shared" si="1"/>
        <v>Valid</v>
      </c>
      <c r="T33" t="str">
        <f t="shared" si="2"/>
        <v>Valid</v>
      </c>
      <c r="U33" t="str">
        <f t="shared" si="3"/>
        <v>Valid</v>
      </c>
      <c r="V33" t="str">
        <f t="shared" si="4"/>
        <v>Valid</v>
      </c>
      <c r="W33" t="str">
        <f t="shared" si="5"/>
        <v>Outlier</v>
      </c>
    </row>
    <row r="34" spans="1:23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  <c r="Q34" t="str">
        <f>IF(COUNTIF($A$2:A34,A34)&gt;1,"Duplicate","Unique")</f>
        <v>Unique</v>
      </c>
      <c r="R34" t="str">
        <f t="shared" si="0"/>
        <v>Valid</v>
      </c>
      <c r="S34" t="str">
        <f t="shared" si="1"/>
        <v>Valid</v>
      </c>
      <c r="T34" t="str">
        <f t="shared" si="2"/>
        <v>Valid</v>
      </c>
      <c r="U34" t="str">
        <f t="shared" si="3"/>
        <v>Valid</v>
      </c>
      <c r="V34" t="str">
        <f t="shared" si="4"/>
        <v>Valid</v>
      </c>
      <c r="W34" t="str">
        <f t="shared" si="5"/>
        <v>Outlier</v>
      </c>
    </row>
    <row r="35" spans="1:23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  <c r="Q35" t="str">
        <f>IF(COUNTIF($A$2:A35,A35)&gt;1,"Duplicate","Unique")</f>
        <v>Unique</v>
      </c>
      <c r="R35" t="str">
        <f t="shared" si="0"/>
        <v>Valid</v>
      </c>
      <c r="S35" t="str">
        <f t="shared" si="1"/>
        <v>Valid</v>
      </c>
      <c r="T35" t="str">
        <f t="shared" si="2"/>
        <v>Valid</v>
      </c>
      <c r="U35" t="str">
        <f t="shared" si="3"/>
        <v>Valid</v>
      </c>
      <c r="V35" t="str">
        <f t="shared" si="4"/>
        <v>Valid</v>
      </c>
      <c r="W35" t="str">
        <f t="shared" si="5"/>
        <v>Outlier</v>
      </c>
    </row>
    <row r="36" spans="1:23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  <c r="Q36" t="str">
        <f>IF(COUNTIF($A$2:A36,A36)&gt;1,"Duplicate","Unique")</f>
        <v>Unique</v>
      </c>
      <c r="R36" t="str">
        <f t="shared" si="0"/>
        <v>Valid</v>
      </c>
      <c r="S36" t="str">
        <f t="shared" si="1"/>
        <v>Valid</v>
      </c>
      <c r="T36" t="str">
        <f t="shared" si="2"/>
        <v>Valid</v>
      </c>
      <c r="U36" t="str">
        <f t="shared" si="3"/>
        <v>Valid</v>
      </c>
      <c r="V36" t="str">
        <f t="shared" si="4"/>
        <v>Valid</v>
      </c>
      <c r="W36" t="str">
        <f t="shared" si="5"/>
        <v>Outlier</v>
      </c>
    </row>
    <row r="37" spans="1:23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  <c r="Q37" t="str">
        <f>IF(COUNTIF($A$2:A37,A37)&gt;1,"Duplicate","Unique")</f>
        <v>Unique</v>
      </c>
      <c r="R37" t="str">
        <f t="shared" si="0"/>
        <v>Valid</v>
      </c>
      <c r="S37" t="str">
        <f t="shared" si="1"/>
        <v>Valid</v>
      </c>
      <c r="T37" t="str">
        <f t="shared" si="2"/>
        <v>Valid</v>
      </c>
      <c r="U37" t="str">
        <f t="shared" si="3"/>
        <v>Valid</v>
      </c>
      <c r="V37" t="str">
        <f t="shared" si="4"/>
        <v>Valid</v>
      </c>
      <c r="W37" t="str">
        <f t="shared" si="5"/>
        <v>Outlier</v>
      </c>
    </row>
    <row r="38" spans="1:23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  <c r="Q38" t="str">
        <f>IF(COUNTIF($A$2:A38,A38)&gt;1,"Duplicate","Unique")</f>
        <v>Unique</v>
      </c>
      <c r="R38" t="str">
        <f t="shared" si="0"/>
        <v>Valid</v>
      </c>
      <c r="S38" t="str">
        <f t="shared" si="1"/>
        <v>Valid</v>
      </c>
      <c r="T38" t="str">
        <f t="shared" si="2"/>
        <v>Valid</v>
      </c>
      <c r="U38" t="str">
        <f t="shared" si="3"/>
        <v>Valid</v>
      </c>
      <c r="V38" t="str">
        <f t="shared" si="4"/>
        <v>Valid</v>
      </c>
      <c r="W38" t="str">
        <f t="shared" si="5"/>
        <v>Outlier</v>
      </c>
    </row>
    <row r="39" spans="1:23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  <c r="Q39" t="str">
        <f>IF(COUNTIF($A$2:A39,A39)&gt;1,"Duplicate","Unique")</f>
        <v>Unique</v>
      </c>
      <c r="R39" t="str">
        <f t="shared" si="0"/>
        <v>Valid</v>
      </c>
      <c r="S39" t="str">
        <f t="shared" si="1"/>
        <v>Valid</v>
      </c>
      <c r="T39" t="str">
        <f t="shared" si="2"/>
        <v>Valid</v>
      </c>
      <c r="U39" t="str">
        <f t="shared" si="3"/>
        <v>Valid</v>
      </c>
      <c r="V39" t="str">
        <f t="shared" si="4"/>
        <v>Valid</v>
      </c>
      <c r="W39" t="str">
        <f t="shared" si="5"/>
        <v>Outlier</v>
      </c>
    </row>
    <row r="40" spans="1:23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  <c r="Q40" t="str">
        <f>IF(COUNTIF($A$2:A40,A40)&gt;1,"Duplicate","Unique")</f>
        <v>Unique</v>
      </c>
      <c r="R40" t="str">
        <f t="shared" si="0"/>
        <v>Valid</v>
      </c>
      <c r="S40" t="str">
        <f t="shared" si="1"/>
        <v>Valid</v>
      </c>
      <c r="T40" t="str">
        <f t="shared" si="2"/>
        <v>Valid</v>
      </c>
      <c r="U40" t="str">
        <f t="shared" si="3"/>
        <v>Valid</v>
      </c>
      <c r="V40" t="str">
        <f t="shared" si="4"/>
        <v>Valid</v>
      </c>
      <c r="W40" t="str">
        <f t="shared" si="5"/>
        <v>Outlier</v>
      </c>
    </row>
    <row r="41" spans="1:23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  <c r="Q41" t="str">
        <f>IF(COUNTIF($A$2:A41,A41)&gt;1,"Duplicate","Unique")</f>
        <v>Unique</v>
      </c>
      <c r="R41" t="str">
        <f t="shared" si="0"/>
        <v>Valid</v>
      </c>
      <c r="S41" t="str">
        <f t="shared" si="1"/>
        <v>Valid</v>
      </c>
      <c r="T41" t="str">
        <f t="shared" si="2"/>
        <v>Valid</v>
      </c>
      <c r="U41" t="str">
        <f t="shared" si="3"/>
        <v>Valid</v>
      </c>
      <c r="V41" t="str">
        <f t="shared" si="4"/>
        <v>Valid</v>
      </c>
      <c r="W41" t="str">
        <f t="shared" si="5"/>
        <v>Outlier</v>
      </c>
    </row>
    <row r="42" spans="1:23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  <c r="Q42" t="str">
        <f>IF(COUNTIF($A$2:A42,A42)&gt;1,"Duplicate","Unique")</f>
        <v>Unique</v>
      </c>
      <c r="R42" t="str">
        <f t="shared" si="0"/>
        <v>Valid</v>
      </c>
      <c r="S42" t="str">
        <f t="shared" si="1"/>
        <v>Valid</v>
      </c>
      <c r="T42" t="str">
        <f t="shared" si="2"/>
        <v>Valid</v>
      </c>
      <c r="U42" t="str">
        <f t="shared" si="3"/>
        <v>Valid</v>
      </c>
      <c r="V42" t="str">
        <f t="shared" si="4"/>
        <v>Valid</v>
      </c>
      <c r="W42" t="str">
        <f t="shared" si="5"/>
        <v>Outlier</v>
      </c>
    </row>
    <row r="43" spans="1:23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  <c r="Q43" t="str">
        <f>IF(COUNTIF($A$2:A43,A43)&gt;1,"Duplicate","Unique")</f>
        <v>Unique</v>
      </c>
      <c r="R43" t="str">
        <f t="shared" si="0"/>
        <v>Valid</v>
      </c>
      <c r="S43" t="str">
        <f t="shared" si="1"/>
        <v>Valid</v>
      </c>
      <c r="T43" t="str">
        <f t="shared" si="2"/>
        <v>Valid</v>
      </c>
      <c r="U43" t="str">
        <f t="shared" si="3"/>
        <v>Valid</v>
      </c>
      <c r="V43" t="str">
        <f t="shared" si="4"/>
        <v>Valid</v>
      </c>
      <c r="W43" t="str">
        <f t="shared" si="5"/>
        <v>Outlier</v>
      </c>
    </row>
    <row r="44" spans="1:23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  <c r="Q44" t="str">
        <f>IF(COUNTIF($A$2:A44,A44)&gt;1,"Duplicate","Unique")</f>
        <v>Unique</v>
      </c>
      <c r="R44" t="str">
        <f t="shared" si="0"/>
        <v>Valid</v>
      </c>
      <c r="S44" t="str">
        <f t="shared" si="1"/>
        <v>Valid</v>
      </c>
      <c r="T44" t="str">
        <f t="shared" si="2"/>
        <v>Valid</v>
      </c>
      <c r="U44" t="str">
        <f t="shared" si="3"/>
        <v>Valid</v>
      </c>
      <c r="V44" t="str">
        <f t="shared" si="4"/>
        <v>Valid</v>
      </c>
      <c r="W44" t="str">
        <f t="shared" si="5"/>
        <v>Outlier</v>
      </c>
    </row>
    <row r="45" spans="1:23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  <c r="Q45" t="str">
        <f>IF(COUNTIF($A$2:A45,A45)&gt;1,"Duplicate","Unique")</f>
        <v>Unique</v>
      </c>
      <c r="R45" t="str">
        <f t="shared" si="0"/>
        <v>Valid</v>
      </c>
      <c r="S45" t="str">
        <f t="shared" si="1"/>
        <v>Valid</v>
      </c>
      <c r="T45" t="str">
        <f t="shared" si="2"/>
        <v>Valid</v>
      </c>
      <c r="U45" t="str">
        <f t="shared" si="3"/>
        <v>Valid</v>
      </c>
      <c r="V45" t="str">
        <f t="shared" si="4"/>
        <v>Valid</v>
      </c>
      <c r="W45" t="str">
        <f t="shared" si="5"/>
        <v>Outlier</v>
      </c>
    </row>
    <row r="46" spans="1:23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  <c r="Q46" t="str">
        <f>IF(COUNTIF($A$2:A46,A46)&gt;1,"Duplicate","Unique")</f>
        <v>Unique</v>
      </c>
      <c r="R46" t="str">
        <f t="shared" si="0"/>
        <v>Valid</v>
      </c>
      <c r="S46" t="str">
        <f t="shared" si="1"/>
        <v>Valid</v>
      </c>
      <c r="T46" t="str">
        <f t="shared" si="2"/>
        <v>Valid</v>
      </c>
      <c r="U46" t="str">
        <f t="shared" si="3"/>
        <v>Valid</v>
      </c>
      <c r="V46" t="str">
        <f t="shared" si="4"/>
        <v>Valid</v>
      </c>
      <c r="W46" t="str">
        <f t="shared" si="5"/>
        <v>Outlier</v>
      </c>
    </row>
    <row r="47" spans="1:23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  <c r="Q47" t="str">
        <f>IF(COUNTIF($A$2:A47,A47)&gt;1,"Duplicate","Unique")</f>
        <v>Unique</v>
      </c>
      <c r="R47" t="str">
        <f t="shared" si="0"/>
        <v>Valid</v>
      </c>
      <c r="S47" t="str">
        <f t="shared" si="1"/>
        <v>Valid</v>
      </c>
      <c r="T47" t="str">
        <f t="shared" si="2"/>
        <v>Valid</v>
      </c>
      <c r="U47" t="str">
        <f t="shared" si="3"/>
        <v>Valid</v>
      </c>
      <c r="V47" t="str">
        <f t="shared" si="4"/>
        <v>Valid</v>
      </c>
      <c r="W47" t="str">
        <f t="shared" si="5"/>
        <v>Outlier</v>
      </c>
    </row>
    <row r="48" spans="1:23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  <c r="Q48" t="str">
        <f>IF(COUNTIF($A$2:A48,A48)&gt;1,"Duplicate","Unique")</f>
        <v>Unique</v>
      </c>
      <c r="R48" t="str">
        <f t="shared" si="0"/>
        <v>Valid</v>
      </c>
      <c r="S48" t="str">
        <f t="shared" si="1"/>
        <v>Valid</v>
      </c>
      <c r="T48" t="str">
        <f t="shared" si="2"/>
        <v>Valid</v>
      </c>
      <c r="U48" t="str">
        <f t="shared" si="3"/>
        <v>Valid</v>
      </c>
      <c r="V48" t="str">
        <f t="shared" si="4"/>
        <v>Valid</v>
      </c>
      <c r="W48" t="str">
        <f t="shared" si="5"/>
        <v>Outlier</v>
      </c>
    </row>
    <row r="49" spans="1:23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  <c r="Q49" t="str">
        <f>IF(COUNTIF($A$2:A49,A49)&gt;1,"Duplicate","Unique")</f>
        <v>Unique</v>
      </c>
      <c r="R49" t="str">
        <f t="shared" si="0"/>
        <v>Valid</v>
      </c>
      <c r="S49" t="str">
        <f t="shared" si="1"/>
        <v>Valid</v>
      </c>
      <c r="T49" t="str">
        <f t="shared" si="2"/>
        <v>Valid</v>
      </c>
      <c r="U49" t="str">
        <f t="shared" si="3"/>
        <v>Valid</v>
      </c>
      <c r="V49" t="str">
        <f t="shared" si="4"/>
        <v>Valid</v>
      </c>
      <c r="W49" t="str">
        <f t="shared" si="5"/>
        <v>Outlier</v>
      </c>
    </row>
    <row r="50" spans="1:23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  <c r="Q50" t="str">
        <f>IF(COUNTIF($A$2:A50,A50)&gt;1,"Duplicate","Unique")</f>
        <v>Unique</v>
      </c>
      <c r="R50" t="str">
        <f t="shared" si="0"/>
        <v>Valid</v>
      </c>
      <c r="S50" t="str">
        <f t="shared" si="1"/>
        <v>Valid</v>
      </c>
      <c r="T50" t="str">
        <f t="shared" si="2"/>
        <v>Valid</v>
      </c>
      <c r="U50" t="str">
        <f t="shared" si="3"/>
        <v>Valid</v>
      </c>
      <c r="V50" t="str">
        <f t="shared" si="4"/>
        <v>Valid</v>
      </c>
      <c r="W50" t="str">
        <f t="shared" si="5"/>
        <v>Outlier</v>
      </c>
    </row>
    <row r="51" spans="1:23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  <c r="Q51" t="str">
        <f>IF(COUNTIF($A$2:A51,A51)&gt;1,"Duplicate","Unique")</f>
        <v>Unique</v>
      </c>
      <c r="R51" t="str">
        <f t="shared" si="0"/>
        <v>Valid</v>
      </c>
      <c r="S51" t="str">
        <f t="shared" si="1"/>
        <v>Valid</v>
      </c>
      <c r="T51" t="str">
        <f t="shared" si="2"/>
        <v>Valid</v>
      </c>
      <c r="U51" t="str">
        <f t="shared" si="3"/>
        <v>Valid</v>
      </c>
      <c r="V51" t="str">
        <f t="shared" si="4"/>
        <v>Valid</v>
      </c>
      <c r="W51" t="str">
        <f t="shared" si="5"/>
        <v>Outlier</v>
      </c>
    </row>
    <row r="52" spans="1:23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  <c r="Q52" t="str">
        <f>IF(COUNTIF($A$2:A52,A52)&gt;1,"Duplicate","Unique")</f>
        <v>Unique</v>
      </c>
      <c r="R52" t="str">
        <f t="shared" si="0"/>
        <v>Valid</v>
      </c>
      <c r="S52" t="str">
        <f t="shared" si="1"/>
        <v>Valid</v>
      </c>
      <c r="T52" t="str">
        <f t="shared" si="2"/>
        <v>Valid</v>
      </c>
      <c r="U52" t="str">
        <f t="shared" si="3"/>
        <v>Valid</v>
      </c>
      <c r="V52" t="str">
        <f t="shared" si="4"/>
        <v>Valid</v>
      </c>
      <c r="W52" t="str">
        <f t="shared" si="5"/>
        <v>Outlier</v>
      </c>
    </row>
    <row r="53" spans="1:23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  <c r="Q53" t="str">
        <f>IF(COUNTIF($A$2:A53,A53)&gt;1,"Duplicate","Unique")</f>
        <v>Unique</v>
      </c>
      <c r="R53" t="str">
        <f t="shared" si="0"/>
        <v>Valid</v>
      </c>
      <c r="S53" t="str">
        <f t="shared" si="1"/>
        <v>Valid</v>
      </c>
      <c r="T53" t="str">
        <f t="shared" si="2"/>
        <v>Valid</v>
      </c>
      <c r="U53" t="str">
        <f t="shared" si="3"/>
        <v>Valid</v>
      </c>
      <c r="V53" t="str">
        <f t="shared" si="4"/>
        <v>Valid</v>
      </c>
      <c r="W53" t="str">
        <f t="shared" si="5"/>
        <v>Outlier</v>
      </c>
    </row>
    <row r="54" spans="1:23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  <c r="Q54" t="str">
        <f>IF(COUNTIF($A$2:A54,A54)&gt;1,"Duplicate","Unique")</f>
        <v>Unique</v>
      </c>
      <c r="R54" t="str">
        <f t="shared" si="0"/>
        <v>Valid</v>
      </c>
      <c r="S54" t="str">
        <f t="shared" si="1"/>
        <v>Valid</v>
      </c>
      <c r="T54" t="str">
        <f t="shared" si="2"/>
        <v>Valid</v>
      </c>
      <c r="U54" t="str">
        <f t="shared" si="3"/>
        <v>Valid</v>
      </c>
      <c r="V54" t="str">
        <f t="shared" si="4"/>
        <v>Valid</v>
      </c>
      <c r="W54" t="str">
        <f t="shared" si="5"/>
        <v>Outlier</v>
      </c>
    </row>
    <row r="55" spans="1:23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  <c r="Q55" t="str">
        <f>IF(COUNTIF($A$2:A55,A55)&gt;1,"Duplicate","Unique")</f>
        <v>Unique</v>
      </c>
      <c r="R55" t="str">
        <f t="shared" si="0"/>
        <v>Valid</v>
      </c>
      <c r="S55" t="str">
        <f t="shared" si="1"/>
        <v>Valid</v>
      </c>
      <c r="T55" t="str">
        <f t="shared" si="2"/>
        <v>Valid</v>
      </c>
      <c r="U55" t="str">
        <f t="shared" si="3"/>
        <v>Valid</v>
      </c>
      <c r="V55" t="str">
        <f t="shared" si="4"/>
        <v>Valid</v>
      </c>
      <c r="W55" t="str">
        <f t="shared" si="5"/>
        <v>Outlier</v>
      </c>
    </row>
    <row r="56" spans="1:23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  <c r="Q56" t="str">
        <f>IF(COUNTIF($A$2:A56,A56)&gt;1,"Duplicate","Unique")</f>
        <v>Unique</v>
      </c>
      <c r="R56" t="str">
        <f t="shared" si="0"/>
        <v>Valid</v>
      </c>
      <c r="S56" t="str">
        <f t="shared" si="1"/>
        <v>Valid</v>
      </c>
      <c r="T56" t="str">
        <f t="shared" si="2"/>
        <v>Valid</v>
      </c>
      <c r="U56" t="str">
        <f t="shared" si="3"/>
        <v>Valid</v>
      </c>
      <c r="V56" t="str">
        <f t="shared" si="4"/>
        <v>Valid</v>
      </c>
      <c r="W56" t="str">
        <f t="shared" si="5"/>
        <v>Outlier</v>
      </c>
    </row>
    <row r="57" spans="1:23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  <c r="Q57" t="str">
        <f>IF(COUNTIF($A$2:A57,A57)&gt;1,"Duplicate","Unique")</f>
        <v>Unique</v>
      </c>
      <c r="R57" t="str">
        <f t="shared" si="0"/>
        <v>Valid</v>
      </c>
      <c r="S57" t="str">
        <f t="shared" si="1"/>
        <v>Valid</v>
      </c>
      <c r="T57" t="str">
        <f t="shared" si="2"/>
        <v>Valid</v>
      </c>
      <c r="U57" t="str">
        <f t="shared" si="3"/>
        <v>Valid</v>
      </c>
      <c r="V57" t="str">
        <f t="shared" si="4"/>
        <v>Valid</v>
      </c>
      <c r="W57" t="str">
        <f t="shared" si="5"/>
        <v>Outlier</v>
      </c>
    </row>
    <row r="58" spans="1:23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  <c r="Q58" t="str">
        <f>IF(COUNTIF($A$2:A58,A58)&gt;1,"Duplicate","Unique")</f>
        <v>Unique</v>
      </c>
      <c r="R58" t="str">
        <f t="shared" si="0"/>
        <v>Valid</v>
      </c>
      <c r="S58" t="str">
        <f t="shared" si="1"/>
        <v>Valid</v>
      </c>
      <c r="T58" t="str">
        <f t="shared" si="2"/>
        <v>Valid</v>
      </c>
      <c r="U58" t="str">
        <f t="shared" si="3"/>
        <v>Valid</v>
      </c>
      <c r="V58" t="str">
        <f t="shared" si="4"/>
        <v>Valid</v>
      </c>
      <c r="W58" t="str">
        <f t="shared" si="5"/>
        <v>Outlier</v>
      </c>
    </row>
    <row r="59" spans="1:23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  <c r="Q59" t="str">
        <f>IF(COUNTIF($A$2:A59,A59)&gt;1,"Duplicate","Unique")</f>
        <v>Unique</v>
      </c>
      <c r="R59" t="str">
        <f t="shared" si="0"/>
        <v>Valid</v>
      </c>
      <c r="S59" t="str">
        <f t="shared" si="1"/>
        <v>Valid</v>
      </c>
      <c r="T59" t="str">
        <f t="shared" si="2"/>
        <v>Valid</v>
      </c>
      <c r="U59" t="str">
        <f t="shared" si="3"/>
        <v>Valid</v>
      </c>
      <c r="V59" t="str">
        <f t="shared" si="4"/>
        <v>Valid</v>
      </c>
      <c r="W59" t="str">
        <f t="shared" si="5"/>
        <v>Outlier</v>
      </c>
    </row>
    <row r="60" spans="1:23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  <c r="Q60" t="str">
        <f>IF(COUNTIF($A$2:A60,A60)&gt;1,"Duplicate","Unique")</f>
        <v>Unique</v>
      </c>
      <c r="R60" t="str">
        <f t="shared" si="0"/>
        <v>Valid</v>
      </c>
      <c r="S60" t="str">
        <f t="shared" si="1"/>
        <v>Valid</v>
      </c>
      <c r="T60" t="str">
        <f t="shared" si="2"/>
        <v>Valid</v>
      </c>
      <c r="U60" t="str">
        <f t="shared" si="3"/>
        <v>Valid</v>
      </c>
      <c r="V60" t="str">
        <f t="shared" si="4"/>
        <v>Valid</v>
      </c>
      <c r="W60" t="str">
        <f t="shared" si="5"/>
        <v>Outlier</v>
      </c>
    </row>
    <row r="61" spans="1:23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  <c r="Q61" t="str">
        <f>IF(COUNTIF($A$2:A61,A61)&gt;1,"Duplicate","Unique")</f>
        <v>Unique</v>
      </c>
      <c r="R61" t="str">
        <f t="shared" si="0"/>
        <v>Valid</v>
      </c>
      <c r="S61" t="str">
        <f t="shared" si="1"/>
        <v>Valid</v>
      </c>
      <c r="T61" t="str">
        <f t="shared" si="2"/>
        <v>Valid</v>
      </c>
      <c r="U61" t="str">
        <f t="shared" si="3"/>
        <v>Valid</v>
      </c>
      <c r="V61" t="str">
        <f t="shared" si="4"/>
        <v>Valid</v>
      </c>
      <c r="W61" t="str">
        <f t="shared" si="5"/>
        <v>Outlier</v>
      </c>
    </row>
    <row r="62" spans="1:23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  <c r="Q62" t="str">
        <f>IF(COUNTIF($A$2:A62,A62)&gt;1,"Duplicate","Unique")</f>
        <v>Unique</v>
      </c>
      <c r="R62" t="str">
        <f t="shared" si="0"/>
        <v>Valid</v>
      </c>
      <c r="S62" t="str">
        <f t="shared" si="1"/>
        <v>Valid</v>
      </c>
      <c r="T62" t="str">
        <f t="shared" si="2"/>
        <v>Valid</v>
      </c>
      <c r="U62" t="str">
        <f t="shared" si="3"/>
        <v>Valid</v>
      </c>
      <c r="V62" t="str">
        <f t="shared" si="4"/>
        <v>Valid</v>
      </c>
      <c r="W62" t="str">
        <f t="shared" si="5"/>
        <v>Outlier</v>
      </c>
    </row>
    <row r="63" spans="1:23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  <c r="Q63" t="str">
        <f>IF(COUNTIF($A$2:A63,A63)&gt;1,"Duplicate","Unique")</f>
        <v>Unique</v>
      </c>
      <c r="R63" t="str">
        <f t="shared" si="0"/>
        <v>Valid</v>
      </c>
      <c r="S63" t="str">
        <f t="shared" si="1"/>
        <v>Valid</v>
      </c>
      <c r="T63" t="str">
        <f t="shared" si="2"/>
        <v>Valid</v>
      </c>
      <c r="U63" t="str">
        <f t="shared" si="3"/>
        <v>Valid</v>
      </c>
      <c r="V63" t="str">
        <f t="shared" si="4"/>
        <v>Valid</v>
      </c>
      <c r="W63" t="str">
        <f t="shared" si="5"/>
        <v>Outlier</v>
      </c>
    </row>
    <row r="64" spans="1:23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  <c r="Q64" t="str">
        <f>IF(COUNTIF($A$2:A64,A64)&gt;1,"Duplicate","Unique")</f>
        <v>Unique</v>
      </c>
      <c r="R64" t="str">
        <f t="shared" si="0"/>
        <v>Valid</v>
      </c>
      <c r="S64" t="str">
        <f t="shared" si="1"/>
        <v>Valid</v>
      </c>
      <c r="T64" t="str">
        <f t="shared" si="2"/>
        <v>Valid</v>
      </c>
      <c r="U64" t="str">
        <f t="shared" si="3"/>
        <v>Valid</v>
      </c>
      <c r="V64" t="str">
        <f t="shared" si="4"/>
        <v>Valid</v>
      </c>
      <c r="W64" t="str">
        <f t="shared" si="5"/>
        <v>Outlier</v>
      </c>
    </row>
    <row r="65" spans="1:23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  <c r="Q65" t="str">
        <f>IF(COUNTIF($A$2:A65,A65)&gt;1,"Duplicate","Unique")</f>
        <v>Unique</v>
      </c>
      <c r="R65" t="str">
        <f t="shared" si="0"/>
        <v>Valid</v>
      </c>
      <c r="S65" t="str">
        <f t="shared" si="1"/>
        <v>Valid</v>
      </c>
      <c r="T65" t="str">
        <f t="shared" si="2"/>
        <v>Valid</v>
      </c>
      <c r="U65" t="str">
        <f t="shared" si="3"/>
        <v>Valid</v>
      </c>
      <c r="V65" t="str">
        <f t="shared" si="4"/>
        <v>Valid</v>
      </c>
      <c r="W65" t="str">
        <f t="shared" si="5"/>
        <v>Outlier</v>
      </c>
    </row>
    <row r="66" spans="1:23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  <c r="Q66" t="str">
        <f>IF(COUNTIF($A$2:A66,A66)&gt;1,"Duplicate","Unique")</f>
        <v>Unique</v>
      </c>
      <c r="R66" t="str">
        <f t="shared" si="0"/>
        <v>Valid</v>
      </c>
      <c r="S66" t="str">
        <f t="shared" si="1"/>
        <v>Valid</v>
      </c>
      <c r="T66" t="str">
        <f t="shared" si="2"/>
        <v>Valid</v>
      </c>
      <c r="U66" t="str">
        <f t="shared" si="3"/>
        <v>Valid</v>
      </c>
      <c r="V66" t="str">
        <f t="shared" si="4"/>
        <v>Valid</v>
      </c>
      <c r="W66" t="str">
        <f t="shared" si="5"/>
        <v>Outlier</v>
      </c>
    </row>
    <row r="67" spans="1:23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  <c r="Q67" t="str">
        <f>IF(COUNTIF($A$2:A67,A67)&gt;1,"Duplicate","Unique")</f>
        <v>Unique</v>
      </c>
      <c r="R67" t="str">
        <f t="shared" ref="R67:R130" si="6">IF(OR(H67=0,H67=1),"Valid","Invalid")</f>
        <v>Valid</v>
      </c>
      <c r="S67" t="str">
        <f t="shared" ref="S67:S130" si="7">IF(OR(I67=0,I67=1),"Valid","Invalid")</f>
        <v>Valid</v>
      </c>
      <c r="T67" t="str">
        <f t="shared" ref="T67:T130" si="8">IF(OR(J67=0,J67=1),"Valid","Invalid")</f>
        <v>Valid</v>
      </c>
      <c r="U67" t="str">
        <f t="shared" ref="U67:U130" si="9">IF(OR(K67=0,K67=1),"Valid","Invalid")</f>
        <v>Valid</v>
      </c>
      <c r="V67" t="str">
        <f t="shared" ref="V67:V130" si="10">IF(OR(N67=0,N67=1),"Valid","Invalid")</f>
        <v>Valid</v>
      </c>
      <c r="W67" t="str">
        <f t="shared" ref="W67:W130" si="11">IF(OR(L67&lt;$B$23,L67&gt;$B$24),"Outlier","Normal")</f>
        <v>Outlier</v>
      </c>
    </row>
    <row r="68" spans="1:23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  <c r="Q68" t="str">
        <f>IF(COUNTIF($A$2:A68,A68)&gt;1,"Duplicate","Unique")</f>
        <v>Unique</v>
      </c>
      <c r="R68" t="str">
        <f t="shared" si="6"/>
        <v>Valid</v>
      </c>
      <c r="S68" t="str">
        <f t="shared" si="7"/>
        <v>Valid</v>
      </c>
      <c r="T68" t="str">
        <f t="shared" si="8"/>
        <v>Valid</v>
      </c>
      <c r="U68" t="str">
        <f t="shared" si="9"/>
        <v>Valid</v>
      </c>
      <c r="V68" t="str">
        <f t="shared" si="10"/>
        <v>Valid</v>
      </c>
      <c r="W68" t="str">
        <f t="shared" si="11"/>
        <v>Outlier</v>
      </c>
    </row>
    <row r="69" spans="1:23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  <c r="Q69" t="str">
        <f>IF(COUNTIF($A$2:A69,A69)&gt;1,"Duplicate","Unique")</f>
        <v>Unique</v>
      </c>
      <c r="R69" t="str">
        <f t="shared" si="6"/>
        <v>Valid</v>
      </c>
      <c r="S69" t="str">
        <f t="shared" si="7"/>
        <v>Valid</v>
      </c>
      <c r="T69" t="str">
        <f t="shared" si="8"/>
        <v>Valid</v>
      </c>
      <c r="U69" t="str">
        <f t="shared" si="9"/>
        <v>Valid</v>
      </c>
      <c r="V69" t="str">
        <f t="shared" si="10"/>
        <v>Valid</v>
      </c>
      <c r="W69" t="str">
        <f t="shared" si="11"/>
        <v>Outlier</v>
      </c>
    </row>
    <row r="70" spans="1:23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  <c r="Q70" t="str">
        <f>IF(COUNTIF($A$2:A70,A70)&gt;1,"Duplicate","Unique")</f>
        <v>Unique</v>
      </c>
      <c r="R70" t="str">
        <f t="shared" si="6"/>
        <v>Valid</v>
      </c>
      <c r="S70" t="str">
        <f t="shared" si="7"/>
        <v>Valid</v>
      </c>
      <c r="T70" t="str">
        <f t="shared" si="8"/>
        <v>Valid</v>
      </c>
      <c r="U70" t="str">
        <f t="shared" si="9"/>
        <v>Valid</v>
      </c>
      <c r="V70" t="str">
        <f t="shared" si="10"/>
        <v>Valid</v>
      </c>
      <c r="W70" t="str">
        <f t="shared" si="11"/>
        <v>Outlier</v>
      </c>
    </row>
    <row r="71" spans="1:23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  <c r="Q71" t="str">
        <f>IF(COUNTIF($A$2:A71,A71)&gt;1,"Duplicate","Unique")</f>
        <v>Unique</v>
      </c>
      <c r="R71" t="str">
        <f t="shared" si="6"/>
        <v>Valid</v>
      </c>
      <c r="S71" t="str">
        <f t="shared" si="7"/>
        <v>Valid</v>
      </c>
      <c r="T71" t="str">
        <f t="shared" si="8"/>
        <v>Valid</v>
      </c>
      <c r="U71" t="str">
        <f t="shared" si="9"/>
        <v>Valid</v>
      </c>
      <c r="V71" t="str">
        <f t="shared" si="10"/>
        <v>Valid</v>
      </c>
      <c r="W71" t="str">
        <f t="shared" si="11"/>
        <v>Outlier</v>
      </c>
    </row>
    <row r="72" spans="1:23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  <c r="Q72" t="str">
        <f>IF(COUNTIF($A$2:A72,A72)&gt;1,"Duplicate","Unique")</f>
        <v>Unique</v>
      </c>
      <c r="R72" t="str">
        <f t="shared" si="6"/>
        <v>Valid</v>
      </c>
      <c r="S72" t="str">
        <f t="shared" si="7"/>
        <v>Valid</v>
      </c>
      <c r="T72" t="str">
        <f t="shared" si="8"/>
        <v>Valid</v>
      </c>
      <c r="U72" t="str">
        <f t="shared" si="9"/>
        <v>Valid</v>
      </c>
      <c r="V72" t="str">
        <f t="shared" si="10"/>
        <v>Valid</v>
      </c>
      <c r="W72" t="str">
        <f t="shared" si="11"/>
        <v>Outlier</v>
      </c>
    </row>
    <row r="73" spans="1:23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  <c r="Q73" t="str">
        <f>IF(COUNTIF($A$2:A73,A73)&gt;1,"Duplicate","Unique")</f>
        <v>Unique</v>
      </c>
      <c r="R73" t="str">
        <f t="shared" si="6"/>
        <v>Valid</v>
      </c>
      <c r="S73" t="str">
        <f t="shared" si="7"/>
        <v>Valid</v>
      </c>
      <c r="T73" t="str">
        <f t="shared" si="8"/>
        <v>Valid</v>
      </c>
      <c r="U73" t="str">
        <f t="shared" si="9"/>
        <v>Valid</v>
      </c>
      <c r="V73" t="str">
        <f t="shared" si="10"/>
        <v>Valid</v>
      </c>
      <c r="W73" t="str">
        <f t="shared" si="11"/>
        <v>Outlier</v>
      </c>
    </row>
    <row r="74" spans="1:23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  <c r="Q74" t="str">
        <f>IF(COUNTIF($A$2:A74,A74)&gt;1,"Duplicate","Unique")</f>
        <v>Unique</v>
      </c>
      <c r="R74" t="str">
        <f t="shared" si="6"/>
        <v>Valid</v>
      </c>
      <c r="S74" t="str">
        <f t="shared" si="7"/>
        <v>Valid</v>
      </c>
      <c r="T74" t="str">
        <f t="shared" si="8"/>
        <v>Valid</v>
      </c>
      <c r="U74" t="str">
        <f t="shared" si="9"/>
        <v>Valid</v>
      </c>
      <c r="V74" t="str">
        <f t="shared" si="10"/>
        <v>Valid</v>
      </c>
      <c r="W74" t="str">
        <f t="shared" si="11"/>
        <v>Outlier</v>
      </c>
    </row>
    <row r="75" spans="1:23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  <c r="Q75" t="str">
        <f>IF(COUNTIF($A$2:A75,A75)&gt;1,"Duplicate","Unique")</f>
        <v>Unique</v>
      </c>
      <c r="R75" t="str">
        <f t="shared" si="6"/>
        <v>Valid</v>
      </c>
      <c r="S75" t="str">
        <f t="shared" si="7"/>
        <v>Valid</v>
      </c>
      <c r="T75" t="str">
        <f t="shared" si="8"/>
        <v>Valid</v>
      </c>
      <c r="U75" t="str">
        <f t="shared" si="9"/>
        <v>Valid</v>
      </c>
      <c r="V75" t="str">
        <f t="shared" si="10"/>
        <v>Valid</v>
      </c>
      <c r="W75" t="str">
        <f t="shared" si="11"/>
        <v>Outlier</v>
      </c>
    </row>
    <row r="76" spans="1:23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  <c r="Q76" t="str">
        <f>IF(COUNTIF($A$2:A76,A76)&gt;1,"Duplicate","Unique")</f>
        <v>Unique</v>
      </c>
      <c r="R76" t="str">
        <f t="shared" si="6"/>
        <v>Valid</v>
      </c>
      <c r="S76" t="str">
        <f t="shared" si="7"/>
        <v>Valid</v>
      </c>
      <c r="T76" t="str">
        <f t="shared" si="8"/>
        <v>Valid</v>
      </c>
      <c r="U76" t="str">
        <f t="shared" si="9"/>
        <v>Valid</v>
      </c>
      <c r="V76" t="str">
        <f t="shared" si="10"/>
        <v>Valid</v>
      </c>
      <c r="W76" t="str">
        <f t="shared" si="11"/>
        <v>Outlier</v>
      </c>
    </row>
    <row r="77" spans="1:23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  <c r="Q77" t="str">
        <f>IF(COUNTIF($A$2:A77,A77)&gt;1,"Duplicate","Unique")</f>
        <v>Unique</v>
      </c>
      <c r="R77" t="str">
        <f t="shared" si="6"/>
        <v>Valid</v>
      </c>
      <c r="S77" t="str">
        <f t="shared" si="7"/>
        <v>Valid</v>
      </c>
      <c r="T77" t="str">
        <f t="shared" si="8"/>
        <v>Valid</v>
      </c>
      <c r="U77" t="str">
        <f t="shared" si="9"/>
        <v>Valid</v>
      </c>
      <c r="V77" t="str">
        <f t="shared" si="10"/>
        <v>Valid</v>
      </c>
      <c r="W77" t="str">
        <f t="shared" si="11"/>
        <v>Outlier</v>
      </c>
    </row>
    <row r="78" spans="1:23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  <c r="Q78" t="str">
        <f>IF(COUNTIF($A$2:A78,A78)&gt;1,"Duplicate","Unique")</f>
        <v>Unique</v>
      </c>
      <c r="R78" t="str">
        <f t="shared" si="6"/>
        <v>Valid</v>
      </c>
      <c r="S78" t="str">
        <f t="shared" si="7"/>
        <v>Valid</v>
      </c>
      <c r="T78" t="str">
        <f t="shared" si="8"/>
        <v>Valid</v>
      </c>
      <c r="U78" t="str">
        <f t="shared" si="9"/>
        <v>Valid</v>
      </c>
      <c r="V78" t="str">
        <f t="shared" si="10"/>
        <v>Valid</v>
      </c>
      <c r="W78" t="str">
        <f t="shared" si="11"/>
        <v>Outlier</v>
      </c>
    </row>
    <row r="79" spans="1:23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  <c r="Q79" t="str">
        <f>IF(COUNTIF($A$2:A79,A79)&gt;1,"Duplicate","Unique")</f>
        <v>Unique</v>
      </c>
      <c r="R79" t="str">
        <f t="shared" si="6"/>
        <v>Valid</v>
      </c>
      <c r="S79" t="str">
        <f t="shared" si="7"/>
        <v>Valid</v>
      </c>
      <c r="T79" t="str">
        <f t="shared" si="8"/>
        <v>Valid</v>
      </c>
      <c r="U79" t="str">
        <f t="shared" si="9"/>
        <v>Valid</v>
      </c>
      <c r="V79" t="str">
        <f t="shared" si="10"/>
        <v>Valid</v>
      </c>
      <c r="W79" t="str">
        <f t="shared" si="11"/>
        <v>Outlier</v>
      </c>
    </row>
    <row r="80" spans="1:23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  <c r="Q80" t="str">
        <f>IF(COUNTIF($A$2:A80,A80)&gt;1,"Duplicate","Unique")</f>
        <v>Unique</v>
      </c>
      <c r="R80" t="str">
        <f t="shared" si="6"/>
        <v>Valid</v>
      </c>
      <c r="S80" t="str">
        <f t="shared" si="7"/>
        <v>Valid</v>
      </c>
      <c r="T80" t="str">
        <f t="shared" si="8"/>
        <v>Valid</v>
      </c>
      <c r="U80" t="str">
        <f t="shared" si="9"/>
        <v>Valid</v>
      </c>
      <c r="V80" t="str">
        <f t="shared" si="10"/>
        <v>Valid</v>
      </c>
      <c r="W80" t="str">
        <f t="shared" si="11"/>
        <v>Outlier</v>
      </c>
    </row>
    <row r="81" spans="1:23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  <c r="Q81" t="str">
        <f>IF(COUNTIF($A$2:A81,A81)&gt;1,"Duplicate","Unique")</f>
        <v>Unique</v>
      </c>
      <c r="R81" t="str">
        <f t="shared" si="6"/>
        <v>Valid</v>
      </c>
      <c r="S81" t="str">
        <f t="shared" si="7"/>
        <v>Valid</v>
      </c>
      <c r="T81" t="str">
        <f t="shared" si="8"/>
        <v>Valid</v>
      </c>
      <c r="U81" t="str">
        <f t="shared" si="9"/>
        <v>Valid</v>
      </c>
      <c r="V81" t="str">
        <f t="shared" si="10"/>
        <v>Valid</v>
      </c>
      <c r="W81" t="str">
        <f t="shared" si="11"/>
        <v>Outlier</v>
      </c>
    </row>
    <row r="82" spans="1:23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  <c r="Q82" t="str">
        <f>IF(COUNTIF($A$2:A82,A82)&gt;1,"Duplicate","Unique")</f>
        <v>Unique</v>
      </c>
      <c r="R82" t="str">
        <f t="shared" si="6"/>
        <v>Valid</v>
      </c>
      <c r="S82" t="str">
        <f t="shared" si="7"/>
        <v>Valid</v>
      </c>
      <c r="T82" t="str">
        <f t="shared" si="8"/>
        <v>Valid</v>
      </c>
      <c r="U82" t="str">
        <f t="shared" si="9"/>
        <v>Valid</v>
      </c>
      <c r="V82" t="str">
        <f t="shared" si="10"/>
        <v>Valid</v>
      </c>
      <c r="W82" t="str">
        <f t="shared" si="11"/>
        <v>Outlier</v>
      </c>
    </row>
    <row r="83" spans="1:23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  <c r="Q83" t="str">
        <f>IF(COUNTIF($A$2:A83,A83)&gt;1,"Duplicate","Unique")</f>
        <v>Unique</v>
      </c>
      <c r="R83" t="str">
        <f t="shared" si="6"/>
        <v>Valid</v>
      </c>
      <c r="S83" t="str">
        <f t="shared" si="7"/>
        <v>Valid</v>
      </c>
      <c r="T83" t="str">
        <f t="shared" si="8"/>
        <v>Valid</v>
      </c>
      <c r="U83" t="str">
        <f t="shared" si="9"/>
        <v>Valid</v>
      </c>
      <c r="V83" t="str">
        <f t="shared" si="10"/>
        <v>Valid</v>
      </c>
      <c r="W83" t="str">
        <f t="shared" si="11"/>
        <v>Outlier</v>
      </c>
    </row>
    <row r="84" spans="1:23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  <c r="Q84" t="str">
        <f>IF(COUNTIF($A$2:A84,A84)&gt;1,"Duplicate","Unique")</f>
        <v>Unique</v>
      </c>
      <c r="R84" t="str">
        <f t="shared" si="6"/>
        <v>Valid</v>
      </c>
      <c r="S84" t="str">
        <f t="shared" si="7"/>
        <v>Valid</v>
      </c>
      <c r="T84" t="str">
        <f t="shared" si="8"/>
        <v>Valid</v>
      </c>
      <c r="U84" t="str">
        <f t="shared" si="9"/>
        <v>Valid</v>
      </c>
      <c r="V84" t="str">
        <f t="shared" si="10"/>
        <v>Valid</v>
      </c>
      <c r="W84" t="str">
        <f t="shared" si="11"/>
        <v>Outlier</v>
      </c>
    </row>
    <row r="85" spans="1:23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  <c r="Q85" t="str">
        <f>IF(COUNTIF($A$2:A85,A85)&gt;1,"Duplicate","Unique")</f>
        <v>Unique</v>
      </c>
      <c r="R85" t="str">
        <f t="shared" si="6"/>
        <v>Valid</v>
      </c>
      <c r="S85" t="str">
        <f t="shared" si="7"/>
        <v>Valid</v>
      </c>
      <c r="T85" t="str">
        <f t="shared" si="8"/>
        <v>Valid</v>
      </c>
      <c r="U85" t="str">
        <f t="shared" si="9"/>
        <v>Valid</v>
      </c>
      <c r="V85" t="str">
        <f t="shared" si="10"/>
        <v>Valid</v>
      </c>
      <c r="W85" t="str">
        <f t="shared" si="11"/>
        <v>Outlier</v>
      </c>
    </row>
    <row r="86" spans="1:23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  <c r="Q86" t="str">
        <f>IF(COUNTIF($A$2:A86,A86)&gt;1,"Duplicate","Unique")</f>
        <v>Unique</v>
      </c>
      <c r="R86" t="str">
        <f t="shared" si="6"/>
        <v>Valid</v>
      </c>
      <c r="S86" t="str">
        <f t="shared" si="7"/>
        <v>Valid</v>
      </c>
      <c r="T86" t="str">
        <f t="shared" si="8"/>
        <v>Valid</v>
      </c>
      <c r="U86" t="str">
        <f t="shared" si="9"/>
        <v>Valid</v>
      </c>
      <c r="V86" t="str">
        <f t="shared" si="10"/>
        <v>Valid</v>
      </c>
      <c r="W86" t="str">
        <f t="shared" si="11"/>
        <v>Outlier</v>
      </c>
    </row>
    <row r="87" spans="1:23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  <c r="Q87" t="str">
        <f>IF(COUNTIF($A$2:A87,A87)&gt;1,"Duplicate","Unique")</f>
        <v>Unique</v>
      </c>
      <c r="R87" t="str">
        <f t="shared" si="6"/>
        <v>Valid</v>
      </c>
      <c r="S87" t="str">
        <f t="shared" si="7"/>
        <v>Valid</v>
      </c>
      <c r="T87" t="str">
        <f t="shared" si="8"/>
        <v>Valid</v>
      </c>
      <c r="U87" t="str">
        <f t="shared" si="9"/>
        <v>Valid</v>
      </c>
      <c r="V87" t="str">
        <f t="shared" si="10"/>
        <v>Valid</v>
      </c>
      <c r="W87" t="str">
        <f t="shared" si="11"/>
        <v>Outlier</v>
      </c>
    </row>
    <row r="88" spans="1:23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  <c r="Q88" t="str">
        <f>IF(COUNTIF($A$2:A88,A88)&gt;1,"Duplicate","Unique")</f>
        <v>Unique</v>
      </c>
      <c r="R88" t="str">
        <f t="shared" si="6"/>
        <v>Valid</v>
      </c>
      <c r="S88" t="str">
        <f t="shared" si="7"/>
        <v>Valid</v>
      </c>
      <c r="T88" t="str">
        <f t="shared" si="8"/>
        <v>Valid</v>
      </c>
      <c r="U88" t="str">
        <f t="shared" si="9"/>
        <v>Valid</v>
      </c>
      <c r="V88" t="str">
        <f t="shared" si="10"/>
        <v>Valid</v>
      </c>
      <c r="W88" t="str">
        <f t="shared" si="11"/>
        <v>Outlier</v>
      </c>
    </row>
    <row r="89" spans="1:23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  <c r="Q89" t="str">
        <f>IF(COUNTIF($A$2:A89,A89)&gt;1,"Duplicate","Unique")</f>
        <v>Unique</v>
      </c>
      <c r="R89" t="str">
        <f t="shared" si="6"/>
        <v>Valid</v>
      </c>
      <c r="S89" t="str">
        <f t="shared" si="7"/>
        <v>Valid</v>
      </c>
      <c r="T89" t="str">
        <f t="shared" si="8"/>
        <v>Valid</v>
      </c>
      <c r="U89" t="str">
        <f t="shared" si="9"/>
        <v>Valid</v>
      </c>
      <c r="V89" t="str">
        <f t="shared" si="10"/>
        <v>Valid</v>
      </c>
      <c r="W89" t="str">
        <f t="shared" si="11"/>
        <v>Outlier</v>
      </c>
    </row>
    <row r="90" spans="1:23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  <c r="Q90" t="str">
        <f>IF(COUNTIF($A$2:A90,A90)&gt;1,"Duplicate","Unique")</f>
        <v>Unique</v>
      </c>
      <c r="R90" t="str">
        <f t="shared" si="6"/>
        <v>Valid</v>
      </c>
      <c r="S90" t="str">
        <f t="shared" si="7"/>
        <v>Valid</v>
      </c>
      <c r="T90" t="str">
        <f t="shared" si="8"/>
        <v>Valid</v>
      </c>
      <c r="U90" t="str">
        <f t="shared" si="9"/>
        <v>Valid</v>
      </c>
      <c r="V90" t="str">
        <f t="shared" si="10"/>
        <v>Valid</v>
      </c>
      <c r="W90" t="str">
        <f t="shared" si="11"/>
        <v>Outlier</v>
      </c>
    </row>
    <row r="91" spans="1:23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  <c r="Q91" t="str">
        <f>IF(COUNTIF($A$2:A91,A91)&gt;1,"Duplicate","Unique")</f>
        <v>Unique</v>
      </c>
      <c r="R91" t="str">
        <f t="shared" si="6"/>
        <v>Valid</v>
      </c>
      <c r="S91" t="str">
        <f t="shared" si="7"/>
        <v>Valid</v>
      </c>
      <c r="T91" t="str">
        <f t="shared" si="8"/>
        <v>Valid</v>
      </c>
      <c r="U91" t="str">
        <f t="shared" si="9"/>
        <v>Valid</v>
      </c>
      <c r="V91" t="str">
        <f t="shared" si="10"/>
        <v>Valid</v>
      </c>
      <c r="W91" t="str">
        <f t="shared" si="11"/>
        <v>Outlier</v>
      </c>
    </row>
    <row r="92" spans="1:23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  <c r="Q92" t="str">
        <f>IF(COUNTIF($A$2:A92,A92)&gt;1,"Duplicate","Unique")</f>
        <v>Unique</v>
      </c>
      <c r="R92" t="str">
        <f t="shared" si="6"/>
        <v>Valid</v>
      </c>
      <c r="S92" t="str">
        <f t="shared" si="7"/>
        <v>Valid</v>
      </c>
      <c r="T92" t="str">
        <f t="shared" si="8"/>
        <v>Valid</v>
      </c>
      <c r="U92" t="str">
        <f t="shared" si="9"/>
        <v>Valid</v>
      </c>
      <c r="V92" t="str">
        <f t="shared" si="10"/>
        <v>Valid</v>
      </c>
      <c r="W92" t="str">
        <f t="shared" si="11"/>
        <v>Outlier</v>
      </c>
    </row>
    <row r="93" spans="1:23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  <c r="Q93" t="str">
        <f>IF(COUNTIF($A$2:A93,A93)&gt;1,"Duplicate","Unique")</f>
        <v>Unique</v>
      </c>
      <c r="R93" t="str">
        <f t="shared" si="6"/>
        <v>Valid</v>
      </c>
      <c r="S93" t="str">
        <f t="shared" si="7"/>
        <v>Valid</v>
      </c>
      <c r="T93" t="str">
        <f t="shared" si="8"/>
        <v>Valid</v>
      </c>
      <c r="U93" t="str">
        <f t="shared" si="9"/>
        <v>Valid</v>
      </c>
      <c r="V93" t="str">
        <f t="shared" si="10"/>
        <v>Valid</v>
      </c>
      <c r="W93" t="str">
        <f t="shared" si="11"/>
        <v>Outlier</v>
      </c>
    </row>
    <row r="94" spans="1:23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  <c r="Q94" t="str">
        <f>IF(COUNTIF($A$2:A94,A94)&gt;1,"Duplicate","Unique")</f>
        <v>Unique</v>
      </c>
      <c r="R94" t="str">
        <f t="shared" si="6"/>
        <v>Valid</v>
      </c>
      <c r="S94" t="str">
        <f t="shared" si="7"/>
        <v>Valid</v>
      </c>
      <c r="T94" t="str">
        <f t="shared" si="8"/>
        <v>Valid</v>
      </c>
      <c r="U94" t="str">
        <f t="shared" si="9"/>
        <v>Valid</v>
      </c>
      <c r="V94" t="str">
        <f t="shared" si="10"/>
        <v>Valid</v>
      </c>
      <c r="W94" t="str">
        <f t="shared" si="11"/>
        <v>Outlier</v>
      </c>
    </row>
    <row r="95" spans="1:23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  <c r="Q95" t="str">
        <f>IF(COUNTIF($A$2:A95,A95)&gt;1,"Duplicate","Unique")</f>
        <v>Unique</v>
      </c>
      <c r="R95" t="str">
        <f t="shared" si="6"/>
        <v>Valid</v>
      </c>
      <c r="S95" t="str">
        <f t="shared" si="7"/>
        <v>Valid</v>
      </c>
      <c r="T95" t="str">
        <f t="shared" si="8"/>
        <v>Valid</v>
      </c>
      <c r="U95" t="str">
        <f t="shared" si="9"/>
        <v>Valid</v>
      </c>
      <c r="V95" t="str">
        <f t="shared" si="10"/>
        <v>Valid</v>
      </c>
      <c r="W95" t="str">
        <f t="shared" si="11"/>
        <v>Outlier</v>
      </c>
    </row>
    <row r="96" spans="1:23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  <c r="Q96" t="str">
        <f>IF(COUNTIF($A$2:A96,A96)&gt;1,"Duplicate","Unique")</f>
        <v>Unique</v>
      </c>
      <c r="R96" t="str">
        <f t="shared" si="6"/>
        <v>Valid</v>
      </c>
      <c r="S96" t="str">
        <f t="shared" si="7"/>
        <v>Valid</v>
      </c>
      <c r="T96" t="str">
        <f t="shared" si="8"/>
        <v>Valid</v>
      </c>
      <c r="U96" t="str">
        <f t="shared" si="9"/>
        <v>Valid</v>
      </c>
      <c r="V96" t="str">
        <f t="shared" si="10"/>
        <v>Valid</v>
      </c>
      <c r="W96" t="str">
        <f t="shared" si="11"/>
        <v>Outlier</v>
      </c>
    </row>
    <row r="97" spans="1:23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  <c r="Q97" t="str">
        <f>IF(COUNTIF($A$2:A97,A97)&gt;1,"Duplicate","Unique")</f>
        <v>Unique</v>
      </c>
      <c r="R97" t="str">
        <f t="shared" si="6"/>
        <v>Valid</v>
      </c>
      <c r="S97" t="str">
        <f t="shared" si="7"/>
        <v>Valid</v>
      </c>
      <c r="T97" t="str">
        <f t="shared" si="8"/>
        <v>Valid</v>
      </c>
      <c r="U97" t="str">
        <f t="shared" si="9"/>
        <v>Valid</v>
      </c>
      <c r="V97" t="str">
        <f t="shared" si="10"/>
        <v>Valid</v>
      </c>
      <c r="W97" t="str">
        <f t="shared" si="11"/>
        <v>Outlier</v>
      </c>
    </row>
    <row r="98" spans="1:23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  <c r="Q98" t="str">
        <f>IF(COUNTIF($A$2:A98,A98)&gt;1,"Duplicate","Unique")</f>
        <v>Unique</v>
      </c>
      <c r="R98" t="str">
        <f t="shared" si="6"/>
        <v>Valid</v>
      </c>
      <c r="S98" t="str">
        <f t="shared" si="7"/>
        <v>Valid</v>
      </c>
      <c r="T98" t="str">
        <f t="shared" si="8"/>
        <v>Valid</v>
      </c>
      <c r="U98" t="str">
        <f t="shared" si="9"/>
        <v>Valid</v>
      </c>
      <c r="V98" t="str">
        <f t="shared" si="10"/>
        <v>Valid</v>
      </c>
      <c r="W98" t="str">
        <f t="shared" si="11"/>
        <v>Outlier</v>
      </c>
    </row>
    <row r="99" spans="1:23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  <c r="Q99" t="str">
        <f>IF(COUNTIF($A$2:A99,A99)&gt;1,"Duplicate","Unique")</f>
        <v>Unique</v>
      </c>
      <c r="R99" t="str">
        <f t="shared" si="6"/>
        <v>Valid</v>
      </c>
      <c r="S99" t="str">
        <f t="shared" si="7"/>
        <v>Valid</v>
      </c>
      <c r="T99" t="str">
        <f t="shared" si="8"/>
        <v>Valid</v>
      </c>
      <c r="U99" t="str">
        <f t="shared" si="9"/>
        <v>Valid</v>
      </c>
      <c r="V99" t="str">
        <f t="shared" si="10"/>
        <v>Valid</v>
      </c>
      <c r="W99" t="str">
        <f t="shared" si="11"/>
        <v>Outlier</v>
      </c>
    </row>
    <row r="100" spans="1:23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  <c r="Q100" t="str">
        <f>IF(COUNTIF($A$2:A100,A100)&gt;1,"Duplicate","Unique")</f>
        <v>Unique</v>
      </c>
      <c r="R100" t="str">
        <f t="shared" si="6"/>
        <v>Valid</v>
      </c>
      <c r="S100" t="str">
        <f t="shared" si="7"/>
        <v>Valid</v>
      </c>
      <c r="T100" t="str">
        <f t="shared" si="8"/>
        <v>Valid</v>
      </c>
      <c r="U100" t="str">
        <f t="shared" si="9"/>
        <v>Valid</v>
      </c>
      <c r="V100" t="str">
        <f t="shared" si="10"/>
        <v>Valid</v>
      </c>
      <c r="W100" t="str">
        <f t="shared" si="11"/>
        <v>Outlier</v>
      </c>
    </row>
    <row r="101" spans="1:23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  <c r="Q101" t="str">
        <f>IF(COUNTIF($A$2:A101,A101)&gt;1,"Duplicate","Unique")</f>
        <v>Unique</v>
      </c>
      <c r="R101" t="str">
        <f t="shared" si="6"/>
        <v>Valid</v>
      </c>
      <c r="S101" t="str">
        <f t="shared" si="7"/>
        <v>Valid</v>
      </c>
      <c r="T101" t="str">
        <f t="shared" si="8"/>
        <v>Valid</v>
      </c>
      <c r="U101" t="str">
        <f t="shared" si="9"/>
        <v>Valid</v>
      </c>
      <c r="V101" t="str">
        <f t="shared" si="10"/>
        <v>Valid</v>
      </c>
      <c r="W101" t="str">
        <f t="shared" si="11"/>
        <v>Outlier</v>
      </c>
    </row>
    <row r="102" spans="1:23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  <c r="Q102" t="str">
        <f>IF(COUNTIF($A$2:A102,A102)&gt;1,"Duplicate","Unique")</f>
        <v>Unique</v>
      </c>
      <c r="R102" t="str">
        <f t="shared" si="6"/>
        <v>Valid</v>
      </c>
      <c r="S102" t="str">
        <f t="shared" si="7"/>
        <v>Valid</v>
      </c>
      <c r="T102" t="str">
        <f t="shared" si="8"/>
        <v>Valid</v>
      </c>
      <c r="U102" t="str">
        <f t="shared" si="9"/>
        <v>Valid</v>
      </c>
      <c r="V102" t="str">
        <f t="shared" si="10"/>
        <v>Valid</v>
      </c>
      <c r="W102" t="str">
        <f t="shared" si="11"/>
        <v>Outlier</v>
      </c>
    </row>
    <row r="103" spans="1:23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  <c r="Q103" t="str">
        <f>IF(COUNTIF($A$2:A103,A103)&gt;1,"Duplicate","Unique")</f>
        <v>Unique</v>
      </c>
      <c r="R103" t="str">
        <f t="shared" si="6"/>
        <v>Valid</v>
      </c>
      <c r="S103" t="str">
        <f t="shared" si="7"/>
        <v>Valid</v>
      </c>
      <c r="T103" t="str">
        <f t="shared" si="8"/>
        <v>Valid</v>
      </c>
      <c r="U103" t="str">
        <f t="shared" si="9"/>
        <v>Valid</v>
      </c>
      <c r="V103" t="str">
        <f t="shared" si="10"/>
        <v>Valid</v>
      </c>
      <c r="W103" t="str">
        <f t="shared" si="11"/>
        <v>Outlier</v>
      </c>
    </row>
    <row r="104" spans="1:23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  <c r="Q104" t="str">
        <f>IF(COUNTIF($A$2:A104,A104)&gt;1,"Duplicate","Unique")</f>
        <v>Unique</v>
      </c>
      <c r="R104" t="str">
        <f t="shared" si="6"/>
        <v>Valid</v>
      </c>
      <c r="S104" t="str">
        <f t="shared" si="7"/>
        <v>Valid</v>
      </c>
      <c r="T104" t="str">
        <f t="shared" si="8"/>
        <v>Valid</v>
      </c>
      <c r="U104" t="str">
        <f t="shared" si="9"/>
        <v>Valid</v>
      </c>
      <c r="V104" t="str">
        <f t="shared" si="10"/>
        <v>Valid</v>
      </c>
      <c r="W104" t="str">
        <f t="shared" si="11"/>
        <v>Outlier</v>
      </c>
    </row>
    <row r="105" spans="1:23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  <c r="Q105" t="str">
        <f>IF(COUNTIF($A$2:A105,A105)&gt;1,"Duplicate","Unique")</f>
        <v>Unique</v>
      </c>
      <c r="R105" t="str">
        <f t="shared" si="6"/>
        <v>Valid</v>
      </c>
      <c r="S105" t="str">
        <f t="shared" si="7"/>
        <v>Valid</v>
      </c>
      <c r="T105" t="str">
        <f t="shared" si="8"/>
        <v>Valid</v>
      </c>
      <c r="U105" t="str">
        <f t="shared" si="9"/>
        <v>Valid</v>
      </c>
      <c r="V105" t="str">
        <f t="shared" si="10"/>
        <v>Valid</v>
      </c>
      <c r="W105" t="str">
        <f t="shared" si="11"/>
        <v>Outlier</v>
      </c>
    </row>
    <row r="106" spans="1:23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  <c r="Q106" t="str">
        <f>IF(COUNTIF($A$2:A106,A106)&gt;1,"Duplicate","Unique")</f>
        <v>Unique</v>
      </c>
      <c r="R106" t="str">
        <f t="shared" si="6"/>
        <v>Valid</v>
      </c>
      <c r="S106" t="str">
        <f t="shared" si="7"/>
        <v>Valid</v>
      </c>
      <c r="T106" t="str">
        <f t="shared" si="8"/>
        <v>Valid</v>
      </c>
      <c r="U106" t="str">
        <f t="shared" si="9"/>
        <v>Valid</v>
      </c>
      <c r="V106" t="str">
        <f t="shared" si="10"/>
        <v>Valid</v>
      </c>
      <c r="W106" t="str">
        <f t="shared" si="11"/>
        <v>Outlier</v>
      </c>
    </row>
    <row r="107" spans="1:23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  <c r="Q107" t="str">
        <f>IF(COUNTIF($A$2:A107,A107)&gt;1,"Duplicate","Unique")</f>
        <v>Unique</v>
      </c>
      <c r="R107" t="str">
        <f t="shared" si="6"/>
        <v>Valid</v>
      </c>
      <c r="S107" t="str">
        <f t="shared" si="7"/>
        <v>Valid</v>
      </c>
      <c r="T107" t="str">
        <f t="shared" si="8"/>
        <v>Valid</v>
      </c>
      <c r="U107" t="str">
        <f t="shared" si="9"/>
        <v>Valid</v>
      </c>
      <c r="V107" t="str">
        <f t="shared" si="10"/>
        <v>Valid</v>
      </c>
      <c r="W107" t="str">
        <f t="shared" si="11"/>
        <v>Outlier</v>
      </c>
    </row>
    <row r="108" spans="1:23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  <c r="Q108" t="str">
        <f>IF(COUNTIF($A$2:A108,A108)&gt;1,"Duplicate","Unique")</f>
        <v>Unique</v>
      </c>
      <c r="R108" t="str">
        <f t="shared" si="6"/>
        <v>Valid</v>
      </c>
      <c r="S108" t="str">
        <f t="shared" si="7"/>
        <v>Valid</v>
      </c>
      <c r="T108" t="str">
        <f t="shared" si="8"/>
        <v>Valid</v>
      </c>
      <c r="U108" t="str">
        <f t="shared" si="9"/>
        <v>Valid</v>
      </c>
      <c r="V108" t="str">
        <f t="shared" si="10"/>
        <v>Valid</v>
      </c>
      <c r="W108" t="str">
        <f t="shared" si="11"/>
        <v>Outlier</v>
      </c>
    </row>
    <row r="109" spans="1:23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  <c r="Q109" t="str">
        <f>IF(COUNTIF($A$2:A109,A109)&gt;1,"Duplicate","Unique")</f>
        <v>Unique</v>
      </c>
      <c r="R109" t="str">
        <f t="shared" si="6"/>
        <v>Valid</v>
      </c>
      <c r="S109" t="str">
        <f t="shared" si="7"/>
        <v>Valid</v>
      </c>
      <c r="T109" t="str">
        <f t="shared" si="8"/>
        <v>Valid</v>
      </c>
      <c r="U109" t="str">
        <f t="shared" si="9"/>
        <v>Valid</v>
      </c>
      <c r="V109" t="str">
        <f t="shared" si="10"/>
        <v>Valid</v>
      </c>
      <c r="W109" t="str">
        <f t="shared" si="11"/>
        <v>Outlier</v>
      </c>
    </row>
    <row r="110" spans="1:23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  <c r="Q110" t="str">
        <f>IF(COUNTIF($A$2:A110,A110)&gt;1,"Duplicate","Unique")</f>
        <v>Unique</v>
      </c>
      <c r="R110" t="str">
        <f t="shared" si="6"/>
        <v>Valid</v>
      </c>
      <c r="S110" t="str">
        <f t="shared" si="7"/>
        <v>Valid</v>
      </c>
      <c r="T110" t="str">
        <f t="shared" si="8"/>
        <v>Valid</v>
      </c>
      <c r="U110" t="str">
        <f t="shared" si="9"/>
        <v>Valid</v>
      </c>
      <c r="V110" t="str">
        <f t="shared" si="10"/>
        <v>Valid</v>
      </c>
      <c r="W110" t="str">
        <f t="shared" si="11"/>
        <v>Outlier</v>
      </c>
    </row>
    <row r="111" spans="1:23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  <c r="Q111" t="str">
        <f>IF(COUNTIF($A$2:A111,A111)&gt;1,"Duplicate","Unique")</f>
        <v>Unique</v>
      </c>
      <c r="R111" t="str">
        <f t="shared" si="6"/>
        <v>Valid</v>
      </c>
      <c r="S111" t="str">
        <f t="shared" si="7"/>
        <v>Valid</v>
      </c>
      <c r="T111" t="str">
        <f t="shared" si="8"/>
        <v>Valid</v>
      </c>
      <c r="U111" t="str">
        <f t="shared" si="9"/>
        <v>Valid</v>
      </c>
      <c r="V111" t="str">
        <f t="shared" si="10"/>
        <v>Valid</v>
      </c>
      <c r="W111" t="str">
        <f t="shared" si="11"/>
        <v>Outlier</v>
      </c>
    </row>
    <row r="112" spans="1:23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  <c r="Q112" t="str">
        <f>IF(COUNTIF($A$2:A112,A112)&gt;1,"Duplicate","Unique")</f>
        <v>Unique</v>
      </c>
      <c r="R112" t="str">
        <f t="shared" si="6"/>
        <v>Valid</v>
      </c>
      <c r="S112" t="str">
        <f t="shared" si="7"/>
        <v>Valid</v>
      </c>
      <c r="T112" t="str">
        <f t="shared" si="8"/>
        <v>Valid</v>
      </c>
      <c r="U112" t="str">
        <f t="shared" si="9"/>
        <v>Valid</v>
      </c>
      <c r="V112" t="str">
        <f t="shared" si="10"/>
        <v>Valid</v>
      </c>
      <c r="W112" t="str">
        <f t="shared" si="11"/>
        <v>Outlier</v>
      </c>
    </row>
    <row r="113" spans="1:23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  <c r="Q113" t="str">
        <f>IF(COUNTIF($A$2:A113,A113)&gt;1,"Duplicate","Unique")</f>
        <v>Unique</v>
      </c>
      <c r="R113" t="str">
        <f t="shared" si="6"/>
        <v>Valid</v>
      </c>
      <c r="S113" t="str">
        <f t="shared" si="7"/>
        <v>Valid</v>
      </c>
      <c r="T113" t="str">
        <f t="shared" si="8"/>
        <v>Valid</v>
      </c>
      <c r="U113" t="str">
        <f t="shared" si="9"/>
        <v>Valid</v>
      </c>
      <c r="V113" t="str">
        <f t="shared" si="10"/>
        <v>Valid</v>
      </c>
      <c r="W113" t="str">
        <f t="shared" si="11"/>
        <v>Outlier</v>
      </c>
    </row>
    <row r="114" spans="1:23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  <c r="Q114" t="str">
        <f>IF(COUNTIF($A$2:A114,A114)&gt;1,"Duplicate","Unique")</f>
        <v>Unique</v>
      </c>
      <c r="R114" t="str">
        <f t="shared" si="6"/>
        <v>Valid</v>
      </c>
      <c r="S114" t="str">
        <f t="shared" si="7"/>
        <v>Valid</v>
      </c>
      <c r="T114" t="str">
        <f t="shared" si="8"/>
        <v>Valid</v>
      </c>
      <c r="U114" t="str">
        <f t="shared" si="9"/>
        <v>Valid</v>
      </c>
      <c r="V114" t="str">
        <f t="shared" si="10"/>
        <v>Valid</v>
      </c>
      <c r="W114" t="str">
        <f t="shared" si="11"/>
        <v>Outlier</v>
      </c>
    </row>
    <row r="115" spans="1:23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  <c r="Q115" t="str">
        <f>IF(COUNTIF($A$2:A115,A115)&gt;1,"Duplicate","Unique")</f>
        <v>Unique</v>
      </c>
      <c r="R115" t="str">
        <f t="shared" si="6"/>
        <v>Valid</v>
      </c>
      <c r="S115" t="str">
        <f t="shared" si="7"/>
        <v>Valid</v>
      </c>
      <c r="T115" t="str">
        <f t="shared" si="8"/>
        <v>Valid</v>
      </c>
      <c r="U115" t="str">
        <f t="shared" si="9"/>
        <v>Valid</v>
      </c>
      <c r="V115" t="str">
        <f t="shared" si="10"/>
        <v>Valid</v>
      </c>
      <c r="W115" t="str">
        <f t="shared" si="11"/>
        <v>Outlier</v>
      </c>
    </row>
    <row r="116" spans="1:23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  <c r="Q116" t="str">
        <f>IF(COUNTIF($A$2:A116,A116)&gt;1,"Duplicate","Unique")</f>
        <v>Unique</v>
      </c>
      <c r="R116" t="str">
        <f t="shared" si="6"/>
        <v>Valid</v>
      </c>
      <c r="S116" t="str">
        <f t="shared" si="7"/>
        <v>Valid</v>
      </c>
      <c r="T116" t="str">
        <f t="shared" si="8"/>
        <v>Valid</v>
      </c>
      <c r="U116" t="str">
        <f t="shared" si="9"/>
        <v>Valid</v>
      </c>
      <c r="V116" t="str">
        <f t="shared" si="10"/>
        <v>Valid</v>
      </c>
      <c r="W116" t="str">
        <f t="shared" si="11"/>
        <v>Outlier</v>
      </c>
    </row>
    <row r="117" spans="1:23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  <c r="Q117" t="str">
        <f>IF(COUNTIF($A$2:A117,A117)&gt;1,"Duplicate","Unique")</f>
        <v>Unique</v>
      </c>
      <c r="R117" t="str">
        <f t="shared" si="6"/>
        <v>Valid</v>
      </c>
      <c r="S117" t="str">
        <f t="shared" si="7"/>
        <v>Valid</v>
      </c>
      <c r="T117" t="str">
        <f t="shared" si="8"/>
        <v>Valid</v>
      </c>
      <c r="U117" t="str">
        <f t="shared" si="9"/>
        <v>Valid</v>
      </c>
      <c r="V117" t="str">
        <f t="shared" si="10"/>
        <v>Valid</v>
      </c>
      <c r="W117" t="str">
        <f t="shared" si="11"/>
        <v>Outlier</v>
      </c>
    </row>
    <row r="118" spans="1:23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  <c r="Q118" t="str">
        <f>IF(COUNTIF($A$2:A118,A118)&gt;1,"Duplicate","Unique")</f>
        <v>Unique</v>
      </c>
      <c r="R118" t="str">
        <f t="shared" si="6"/>
        <v>Valid</v>
      </c>
      <c r="S118" t="str">
        <f t="shared" si="7"/>
        <v>Valid</v>
      </c>
      <c r="T118" t="str">
        <f t="shared" si="8"/>
        <v>Valid</v>
      </c>
      <c r="U118" t="str">
        <f t="shared" si="9"/>
        <v>Valid</v>
      </c>
      <c r="V118" t="str">
        <f t="shared" si="10"/>
        <v>Valid</v>
      </c>
      <c r="W118" t="str">
        <f t="shared" si="11"/>
        <v>Outlier</v>
      </c>
    </row>
    <row r="119" spans="1:23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  <c r="Q119" t="str">
        <f>IF(COUNTIF($A$2:A119,A119)&gt;1,"Duplicate","Unique")</f>
        <v>Unique</v>
      </c>
      <c r="R119" t="str">
        <f t="shared" si="6"/>
        <v>Valid</v>
      </c>
      <c r="S119" t="str">
        <f t="shared" si="7"/>
        <v>Valid</v>
      </c>
      <c r="T119" t="str">
        <f t="shared" si="8"/>
        <v>Valid</v>
      </c>
      <c r="U119" t="str">
        <f t="shared" si="9"/>
        <v>Valid</v>
      </c>
      <c r="V119" t="str">
        <f t="shared" si="10"/>
        <v>Valid</v>
      </c>
      <c r="W119" t="str">
        <f t="shared" si="11"/>
        <v>Outlier</v>
      </c>
    </row>
    <row r="120" spans="1:23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  <c r="Q120" t="str">
        <f>IF(COUNTIF($A$2:A120,A120)&gt;1,"Duplicate","Unique")</f>
        <v>Unique</v>
      </c>
      <c r="R120" t="str">
        <f t="shared" si="6"/>
        <v>Valid</v>
      </c>
      <c r="S120" t="str">
        <f t="shared" si="7"/>
        <v>Valid</v>
      </c>
      <c r="T120" t="str">
        <f t="shared" si="8"/>
        <v>Valid</v>
      </c>
      <c r="U120" t="str">
        <f t="shared" si="9"/>
        <v>Valid</v>
      </c>
      <c r="V120" t="str">
        <f t="shared" si="10"/>
        <v>Valid</v>
      </c>
      <c r="W120" t="str">
        <f t="shared" si="11"/>
        <v>Outlier</v>
      </c>
    </row>
    <row r="121" spans="1:23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  <c r="Q121" t="str">
        <f>IF(COUNTIF($A$2:A121,A121)&gt;1,"Duplicate","Unique")</f>
        <v>Unique</v>
      </c>
      <c r="R121" t="str">
        <f t="shared" si="6"/>
        <v>Valid</v>
      </c>
      <c r="S121" t="str">
        <f t="shared" si="7"/>
        <v>Valid</v>
      </c>
      <c r="T121" t="str">
        <f t="shared" si="8"/>
        <v>Valid</v>
      </c>
      <c r="U121" t="str">
        <f t="shared" si="9"/>
        <v>Valid</v>
      </c>
      <c r="V121" t="str">
        <f t="shared" si="10"/>
        <v>Valid</v>
      </c>
      <c r="W121" t="str">
        <f t="shared" si="11"/>
        <v>Outlier</v>
      </c>
    </row>
    <row r="122" spans="1:23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  <c r="Q122" t="str">
        <f>IF(COUNTIF($A$2:A122,A122)&gt;1,"Duplicate","Unique")</f>
        <v>Unique</v>
      </c>
      <c r="R122" t="str">
        <f t="shared" si="6"/>
        <v>Valid</v>
      </c>
      <c r="S122" t="str">
        <f t="shared" si="7"/>
        <v>Valid</v>
      </c>
      <c r="T122" t="str">
        <f t="shared" si="8"/>
        <v>Valid</v>
      </c>
      <c r="U122" t="str">
        <f t="shared" si="9"/>
        <v>Valid</v>
      </c>
      <c r="V122" t="str">
        <f t="shared" si="10"/>
        <v>Valid</v>
      </c>
      <c r="W122" t="str">
        <f t="shared" si="11"/>
        <v>Outlier</v>
      </c>
    </row>
    <row r="123" spans="1:23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  <c r="Q123" t="str">
        <f>IF(COUNTIF($A$2:A123,A123)&gt;1,"Duplicate","Unique")</f>
        <v>Unique</v>
      </c>
      <c r="R123" t="str">
        <f t="shared" si="6"/>
        <v>Valid</v>
      </c>
      <c r="S123" t="str">
        <f t="shared" si="7"/>
        <v>Valid</v>
      </c>
      <c r="T123" t="str">
        <f t="shared" si="8"/>
        <v>Valid</v>
      </c>
      <c r="U123" t="str">
        <f t="shared" si="9"/>
        <v>Valid</v>
      </c>
      <c r="V123" t="str">
        <f t="shared" si="10"/>
        <v>Valid</v>
      </c>
      <c r="W123" t="str">
        <f t="shared" si="11"/>
        <v>Outlier</v>
      </c>
    </row>
    <row r="124" spans="1:23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  <c r="Q124" t="str">
        <f>IF(COUNTIF($A$2:A124,A124)&gt;1,"Duplicate","Unique")</f>
        <v>Unique</v>
      </c>
      <c r="R124" t="str">
        <f t="shared" si="6"/>
        <v>Valid</v>
      </c>
      <c r="S124" t="str">
        <f t="shared" si="7"/>
        <v>Valid</v>
      </c>
      <c r="T124" t="str">
        <f t="shared" si="8"/>
        <v>Valid</v>
      </c>
      <c r="U124" t="str">
        <f t="shared" si="9"/>
        <v>Valid</v>
      </c>
      <c r="V124" t="str">
        <f t="shared" si="10"/>
        <v>Valid</v>
      </c>
      <c r="W124" t="str">
        <f t="shared" si="11"/>
        <v>Outlier</v>
      </c>
    </row>
    <row r="125" spans="1:23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  <c r="Q125" t="str">
        <f>IF(COUNTIF($A$2:A125,A125)&gt;1,"Duplicate","Unique")</f>
        <v>Unique</v>
      </c>
      <c r="R125" t="str">
        <f t="shared" si="6"/>
        <v>Valid</v>
      </c>
      <c r="S125" t="str">
        <f t="shared" si="7"/>
        <v>Valid</v>
      </c>
      <c r="T125" t="str">
        <f t="shared" si="8"/>
        <v>Valid</v>
      </c>
      <c r="U125" t="str">
        <f t="shared" si="9"/>
        <v>Valid</v>
      </c>
      <c r="V125" t="str">
        <f t="shared" si="10"/>
        <v>Valid</v>
      </c>
      <c r="W125" t="str">
        <f t="shared" si="11"/>
        <v>Outlier</v>
      </c>
    </row>
    <row r="126" spans="1:23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  <c r="Q126" t="str">
        <f>IF(COUNTIF($A$2:A126,A126)&gt;1,"Duplicate","Unique")</f>
        <v>Unique</v>
      </c>
      <c r="R126" t="str">
        <f t="shared" si="6"/>
        <v>Valid</v>
      </c>
      <c r="S126" t="str">
        <f t="shared" si="7"/>
        <v>Valid</v>
      </c>
      <c r="T126" t="str">
        <f t="shared" si="8"/>
        <v>Valid</v>
      </c>
      <c r="U126" t="str">
        <f t="shared" si="9"/>
        <v>Valid</v>
      </c>
      <c r="V126" t="str">
        <f t="shared" si="10"/>
        <v>Valid</v>
      </c>
      <c r="W126" t="str">
        <f t="shared" si="11"/>
        <v>Outlier</v>
      </c>
    </row>
    <row r="127" spans="1:23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  <c r="Q127" t="str">
        <f>IF(COUNTIF($A$2:A127,A127)&gt;1,"Duplicate","Unique")</f>
        <v>Unique</v>
      </c>
      <c r="R127" t="str">
        <f t="shared" si="6"/>
        <v>Valid</v>
      </c>
      <c r="S127" t="str">
        <f t="shared" si="7"/>
        <v>Valid</v>
      </c>
      <c r="T127" t="str">
        <f t="shared" si="8"/>
        <v>Valid</v>
      </c>
      <c r="U127" t="str">
        <f t="shared" si="9"/>
        <v>Valid</v>
      </c>
      <c r="V127" t="str">
        <f t="shared" si="10"/>
        <v>Valid</v>
      </c>
      <c r="W127" t="str">
        <f t="shared" si="11"/>
        <v>Outlier</v>
      </c>
    </row>
    <row r="128" spans="1:23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  <c r="Q128" t="str">
        <f>IF(COUNTIF($A$2:A128,A128)&gt;1,"Duplicate","Unique")</f>
        <v>Unique</v>
      </c>
      <c r="R128" t="str">
        <f t="shared" si="6"/>
        <v>Valid</v>
      </c>
      <c r="S128" t="str">
        <f t="shared" si="7"/>
        <v>Valid</v>
      </c>
      <c r="T128" t="str">
        <f t="shared" si="8"/>
        <v>Valid</v>
      </c>
      <c r="U128" t="str">
        <f t="shared" si="9"/>
        <v>Valid</v>
      </c>
      <c r="V128" t="str">
        <f t="shared" si="10"/>
        <v>Valid</v>
      </c>
      <c r="W128" t="str">
        <f t="shared" si="11"/>
        <v>Outlier</v>
      </c>
    </row>
    <row r="129" spans="1:23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  <c r="Q129" t="str">
        <f>IF(COUNTIF($A$2:A129,A129)&gt;1,"Duplicate","Unique")</f>
        <v>Unique</v>
      </c>
      <c r="R129" t="str">
        <f t="shared" si="6"/>
        <v>Valid</v>
      </c>
      <c r="S129" t="str">
        <f t="shared" si="7"/>
        <v>Valid</v>
      </c>
      <c r="T129" t="str">
        <f t="shared" si="8"/>
        <v>Valid</v>
      </c>
      <c r="U129" t="str">
        <f t="shared" si="9"/>
        <v>Valid</v>
      </c>
      <c r="V129" t="str">
        <f t="shared" si="10"/>
        <v>Valid</v>
      </c>
      <c r="W129" t="str">
        <f t="shared" si="11"/>
        <v>Outlier</v>
      </c>
    </row>
    <row r="130" spans="1:23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  <c r="Q130" t="str">
        <f>IF(COUNTIF($A$2:A130,A130)&gt;1,"Duplicate","Unique")</f>
        <v>Unique</v>
      </c>
      <c r="R130" t="str">
        <f t="shared" si="6"/>
        <v>Valid</v>
      </c>
      <c r="S130" t="str">
        <f t="shared" si="7"/>
        <v>Valid</v>
      </c>
      <c r="T130" t="str">
        <f t="shared" si="8"/>
        <v>Valid</v>
      </c>
      <c r="U130" t="str">
        <f t="shared" si="9"/>
        <v>Valid</v>
      </c>
      <c r="V130" t="str">
        <f t="shared" si="10"/>
        <v>Valid</v>
      </c>
      <c r="W130" t="str">
        <f t="shared" si="11"/>
        <v>Outlier</v>
      </c>
    </row>
    <row r="131" spans="1:23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  <c r="Q131" t="str">
        <f>IF(COUNTIF($A$2:A131,A131)&gt;1,"Duplicate","Unique")</f>
        <v>Unique</v>
      </c>
      <c r="R131" t="str">
        <f t="shared" ref="R131:R194" si="12">IF(OR(H131=0,H131=1),"Valid","Invalid")</f>
        <v>Valid</v>
      </c>
      <c r="S131" t="str">
        <f t="shared" ref="S131:S194" si="13">IF(OR(I131=0,I131=1),"Valid","Invalid")</f>
        <v>Valid</v>
      </c>
      <c r="T131" t="str">
        <f t="shared" ref="T131:T194" si="14">IF(OR(J131=0,J131=1),"Valid","Invalid")</f>
        <v>Valid</v>
      </c>
      <c r="U131" t="str">
        <f t="shared" ref="U131:U194" si="15">IF(OR(K131=0,K131=1),"Valid","Invalid")</f>
        <v>Valid</v>
      </c>
      <c r="V131" t="str">
        <f t="shared" ref="V131:V194" si="16">IF(OR(N131=0,N131=1),"Valid","Invalid")</f>
        <v>Valid</v>
      </c>
      <c r="W131" t="str">
        <f t="shared" ref="W131:W194" si="17">IF(OR(L131&lt;$B$23,L131&gt;$B$24),"Outlier","Normal")</f>
        <v>Outlier</v>
      </c>
    </row>
    <row r="132" spans="1:23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  <c r="Q132" t="str">
        <f>IF(COUNTIF($A$2:A132,A132)&gt;1,"Duplicate","Unique")</f>
        <v>Unique</v>
      </c>
      <c r="R132" t="str">
        <f t="shared" si="12"/>
        <v>Valid</v>
      </c>
      <c r="S132" t="str">
        <f t="shared" si="13"/>
        <v>Valid</v>
      </c>
      <c r="T132" t="str">
        <f t="shared" si="14"/>
        <v>Valid</v>
      </c>
      <c r="U132" t="str">
        <f t="shared" si="15"/>
        <v>Valid</v>
      </c>
      <c r="V132" t="str">
        <f t="shared" si="16"/>
        <v>Valid</v>
      </c>
      <c r="W132" t="str">
        <f t="shared" si="17"/>
        <v>Outlier</v>
      </c>
    </row>
    <row r="133" spans="1:23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  <c r="Q133" t="str">
        <f>IF(COUNTIF($A$2:A133,A133)&gt;1,"Duplicate","Unique")</f>
        <v>Unique</v>
      </c>
      <c r="R133" t="str">
        <f t="shared" si="12"/>
        <v>Valid</v>
      </c>
      <c r="S133" t="str">
        <f t="shared" si="13"/>
        <v>Valid</v>
      </c>
      <c r="T133" t="str">
        <f t="shared" si="14"/>
        <v>Valid</v>
      </c>
      <c r="U133" t="str">
        <f t="shared" si="15"/>
        <v>Valid</v>
      </c>
      <c r="V133" t="str">
        <f t="shared" si="16"/>
        <v>Valid</v>
      </c>
      <c r="W133" t="str">
        <f t="shared" si="17"/>
        <v>Outlier</v>
      </c>
    </row>
    <row r="134" spans="1:23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  <c r="Q134" t="str">
        <f>IF(COUNTIF($A$2:A134,A134)&gt;1,"Duplicate","Unique")</f>
        <v>Unique</v>
      </c>
      <c r="R134" t="str">
        <f t="shared" si="12"/>
        <v>Valid</v>
      </c>
      <c r="S134" t="str">
        <f t="shared" si="13"/>
        <v>Valid</v>
      </c>
      <c r="T134" t="str">
        <f t="shared" si="14"/>
        <v>Valid</v>
      </c>
      <c r="U134" t="str">
        <f t="shared" si="15"/>
        <v>Valid</v>
      </c>
      <c r="V134" t="str">
        <f t="shared" si="16"/>
        <v>Valid</v>
      </c>
      <c r="W134" t="str">
        <f t="shared" si="17"/>
        <v>Outlier</v>
      </c>
    </row>
    <row r="135" spans="1:23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  <c r="Q135" t="str">
        <f>IF(COUNTIF($A$2:A135,A135)&gt;1,"Duplicate","Unique")</f>
        <v>Unique</v>
      </c>
      <c r="R135" t="str">
        <f t="shared" si="12"/>
        <v>Valid</v>
      </c>
      <c r="S135" t="str">
        <f t="shared" si="13"/>
        <v>Valid</v>
      </c>
      <c r="T135" t="str">
        <f t="shared" si="14"/>
        <v>Valid</v>
      </c>
      <c r="U135" t="str">
        <f t="shared" si="15"/>
        <v>Valid</v>
      </c>
      <c r="V135" t="str">
        <f t="shared" si="16"/>
        <v>Valid</v>
      </c>
      <c r="W135" t="str">
        <f t="shared" si="17"/>
        <v>Outlier</v>
      </c>
    </row>
    <row r="136" spans="1:23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  <c r="Q136" t="str">
        <f>IF(COUNTIF($A$2:A136,A136)&gt;1,"Duplicate","Unique")</f>
        <v>Unique</v>
      </c>
      <c r="R136" t="str">
        <f t="shared" si="12"/>
        <v>Valid</v>
      </c>
      <c r="S136" t="str">
        <f t="shared" si="13"/>
        <v>Valid</v>
      </c>
      <c r="T136" t="str">
        <f t="shared" si="14"/>
        <v>Valid</v>
      </c>
      <c r="U136" t="str">
        <f t="shared" si="15"/>
        <v>Valid</v>
      </c>
      <c r="V136" t="str">
        <f t="shared" si="16"/>
        <v>Valid</v>
      </c>
      <c r="W136" t="str">
        <f t="shared" si="17"/>
        <v>Outlier</v>
      </c>
    </row>
    <row r="137" spans="1:23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  <c r="Q137" t="str">
        <f>IF(COUNTIF($A$2:A137,A137)&gt;1,"Duplicate","Unique")</f>
        <v>Unique</v>
      </c>
      <c r="R137" t="str">
        <f t="shared" si="12"/>
        <v>Valid</v>
      </c>
      <c r="S137" t="str">
        <f t="shared" si="13"/>
        <v>Valid</v>
      </c>
      <c r="T137" t="str">
        <f t="shared" si="14"/>
        <v>Valid</v>
      </c>
      <c r="U137" t="str">
        <f t="shared" si="15"/>
        <v>Valid</v>
      </c>
      <c r="V137" t="str">
        <f t="shared" si="16"/>
        <v>Valid</v>
      </c>
      <c r="W137" t="str">
        <f t="shared" si="17"/>
        <v>Outlier</v>
      </c>
    </row>
    <row r="138" spans="1:23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  <c r="Q138" t="str">
        <f>IF(COUNTIF($A$2:A138,A138)&gt;1,"Duplicate","Unique")</f>
        <v>Unique</v>
      </c>
      <c r="R138" t="str">
        <f t="shared" si="12"/>
        <v>Valid</v>
      </c>
      <c r="S138" t="str">
        <f t="shared" si="13"/>
        <v>Valid</v>
      </c>
      <c r="T138" t="str">
        <f t="shared" si="14"/>
        <v>Valid</v>
      </c>
      <c r="U138" t="str">
        <f t="shared" si="15"/>
        <v>Valid</v>
      </c>
      <c r="V138" t="str">
        <f t="shared" si="16"/>
        <v>Valid</v>
      </c>
      <c r="W138" t="str">
        <f t="shared" si="17"/>
        <v>Outlier</v>
      </c>
    </row>
    <row r="139" spans="1:23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  <c r="Q139" t="str">
        <f>IF(COUNTIF($A$2:A139,A139)&gt;1,"Duplicate","Unique")</f>
        <v>Unique</v>
      </c>
      <c r="R139" t="str">
        <f t="shared" si="12"/>
        <v>Valid</v>
      </c>
      <c r="S139" t="str">
        <f t="shared" si="13"/>
        <v>Valid</v>
      </c>
      <c r="T139" t="str">
        <f t="shared" si="14"/>
        <v>Valid</v>
      </c>
      <c r="U139" t="str">
        <f t="shared" si="15"/>
        <v>Valid</v>
      </c>
      <c r="V139" t="str">
        <f t="shared" si="16"/>
        <v>Valid</v>
      </c>
      <c r="W139" t="str">
        <f t="shared" si="17"/>
        <v>Outlier</v>
      </c>
    </row>
    <row r="140" spans="1:23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  <c r="Q140" t="str">
        <f>IF(COUNTIF($A$2:A140,A140)&gt;1,"Duplicate","Unique")</f>
        <v>Unique</v>
      </c>
      <c r="R140" t="str">
        <f t="shared" si="12"/>
        <v>Valid</v>
      </c>
      <c r="S140" t="str">
        <f t="shared" si="13"/>
        <v>Valid</v>
      </c>
      <c r="T140" t="str">
        <f t="shared" si="14"/>
        <v>Valid</v>
      </c>
      <c r="U140" t="str">
        <f t="shared" si="15"/>
        <v>Valid</v>
      </c>
      <c r="V140" t="str">
        <f t="shared" si="16"/>
        <v>Valid</v>
      </c>
      <c r="W140" t="str">
        <f t="shared" si="17"/>
        <v>Outlier</v>
      </c>
    </row>
    <row r="141" spans="1:23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  <c r="Q141" t="str">
        <f>IF(COUNTIF($A$2:A141,A141)&gt;1,"Duplicate","Unique")</f>
        <v>Unique</v>
      </c>
      <c r="R141" t="str">
        <f t="shared" si="12"/>
        <v>Valid</v>
      </c>
      <c r="S141" t="str">
        <f t="shared" si="13"/>
        <v>Valid</v>
      </c>
      <c r="T141" t="str">
        <f t="shared" si="14"/>
        <v>Valid</v>
      </c>
      <c r="U141" t="str">
        <f t="shared" si="15"/>
        <v>Valid</v>
      </c>
      <c r="V141" t="str">
        <f t="shared" si="16"/>
        <v>Valid</v>
      </c>
      <c r="W141" t="str">
        <f t="shared" si="17"/>
        <v>Outlier</v>
      </c>
    </row>
    <row r="142" spans="1:23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  <c r="Q142" t="str">
        <f>IF(COUNTIF($A$2:A142,A142)&gt;1,"Duplicate","Unique")</f>
        <v>Unique</v>
      </c>
      <c r="R142" t="str">
        <f t="shared" si="12"/>
        <v>Valid</v>
      </c>
      <c r="S142" t="str">
        <f t="shared" si="13"/>
        <v>Valid</v>
      </c>
      <c r="T142" t="str">
        <f t="shared" si="14"/>
        <v>Valid</v>
      </c>
      <c r="U142" t="str">
        <f t="shared" si="15"/>
        <v>Valid</v>
      </c>
      <c r="V142" t="str">
        <f t="shared" si="16"/>
        <v>Valid</v>
      </c>
      <c r="W142" t="str">
        <f t="shared" si="17"/>
        <v>Outlier</v>
      </c>
    </row>
    <row r="143" spans="1:23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  <c r="Q143" t="str">
        <f>IF(COUNTIF($A$2:A143,A143)&gt;1,"Duplicate","Unique")</f>
        <v>Unique</v>
      </c>
      <c r="R143" t="str">
        <f t="shared" si="12"/>
        <v>Valid</v>
      </c>
      <c r="S143" t="str">
        <f t="shared" si="13"/>
        <v>Valid</v>
      </c>
      <c r="T143" t="str">
        <f t="shared" si="14"/>
        <v>Valid</v>
      </c>
      <c r="U143" t="str">
        <f t="shared" si="15"/>
        <v>Valid</v>
      </c>
      <c r="V143" t="str">
        <f t="shared" si="16"/>
        <v>Valid</v>
      </c>
      <c r="W143" t="str">
        <f t="shared" si="17"/>
        <v>Outlier</v>
      </c>
    </row>
    <row r="144" spans="1:23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  <c r="Q144" t="str">
        <f>IF(COUNTIF($A$2:A144,A144)&gt;1,"Duplicate","Unique")</f>
        <v>Unique</v>
      </c>
      <c r="R144" t="str">
        <f t="shared" si="12"/>
        <v>Valid</v>
      </c>
      <c r="S144" t="str">
        <f t="shared" si="13"/>
        <v>Valid</v>
      </c>
      <c r="T144" t="str">
        <f t="shared" si="14"/>
        <v>Valid</v>
      </c>
      <c r="U144" t="str">
        <f t="shared" si="15"/>
        <v>Valid</v>
      </c>
      <c r="V144" t="str">
        <f t="shared" si="16"/>
        <v>Valid</v>
      </c>
      <c r="W144" t="str">
        <f t="shared" si="17"/>
        <v>Outlier</v>
      </c>
    </row>
    <row r="145" spans="1:23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  <c r="Q145" t="str">
        <f>IF(COUNTIF($A$2:A145,A145)&gt;1,"Duplicate","Unique")</f>
        <v>Unique</v>
      </c>
      <c r="R145" t="str">
        <f t="shared" si="12"/>
        <v>Valid</v>
      </c>
      <c r="S145" t="str">
        <f t="shared" si="13"/>
        <v>Valid</v>
      </c>
      <c r="T145" t="str">
        <f t="shared" si="14"/>
        <v>Valid</v>
      </c>
      <c r="U145" t="str">
        <f t="shared" si="15"/>
        <v>Valid</v>
      </c>
      <c r="V145" t="str">
        <f t="shared" si="16"/>
        <v>Valid</v>
      </c>
      <c r="W145" t="str">
        <f t="shared" si="17"/>
        <v>Outlier</v>
      </c>
    </row>
    <row r="146" spans="1:23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  <c r="Q146" t="str">
        <f>IF(COUNTIF($A$2:A146,A146)&gt;1,"Duplicate","Unique")</f>
        <v>Unique</v>
      </c>
      <c r="R146" t="str">
        <f t="shared" si="12"/>
        <v>Valid</v>
      </c>
      <c r="S146" t="str">
        <f t="shared" si="13"/>
        <v>Valid</v>
      </c>
      <c r="T146" t="str">
        <f t="shared" si="14"/>
        <v>Valid</v>
      </c>
      <c r="U146" t="str">
        <f t="shared" si="15"/>
        <v>Valid</v>
      </c>
      <c r="V146" t="str">
        <f t="shared" si="16"/>
        <v>Valid</v>
      </c>
      <c r="W146" t="str">
        <f t="shared" si="17"/>
        <v>Outlier</v>
      </c>
    </row>
    <row r="147" spans="1:23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  <c r="Q147" t="str">
        <f>IF(COUNTIF($A$2:A147,A147)&gt;1,"Duplicate","Unique")</f>
        <v>Unique</v>
      </c>
      <c r="R147" t="str">
        <f t="shared" si="12"/>
        <v>Valid</v>
      </c>
      <c r="S147" t="str">
        <f t="shared" si="13"/>
        <v>Valid</v>
      </c>
      <c r="T147" t="str">
        <f t="shared" si="14"/>
        <v>Valid</v>
      </c>
      <c r="U147" t="str">
        <f t="shared" si="15"/>
        <v>Valid</v>
      </c>
      <c r="V147" t="str">
        <f t="shared" si="16"/>
        <v>Valid</v>
      </c>
      <c r="W147" t="str">
        <f t="shared" si="17"/>
        <v>Outlier</v>
      </c>
    </row>
    <row r="148" spans="1:23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  <c r="Q148" t="str">
        <f>IF(COUNTIF($A$2:A148,A148)&gt;1,"Duplicate","Unique")</f>
        <v>Unique</v>
      </c>
      <c r="R148" t="str">
        <f t="shared" si="12"/>
        <v>Valid</v>
      </c>
      <c r="S148" t="str">
        <f t="shared" si="13"/>
        <v>Valid</v>
      </c>
      <c r="T148" t="str">
        <f t="shared" si="14"/>
        <v>Valid</v>
      </c>
      <c r="U148" t="str">
        <f t="shared" si="15"/>
        <v>Valid</v>
      </c>
      <c r="V148" t="str">
        <f t="shared" si="16"/>
        <v>Valid</v>
      </c>
      <c r="W148" t="str">
        <f t="shared" si="17"/>
        <v>Outlier</v>
      </c>
    </row>
    <row r="149" spans="1:23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  <c r="Q149" t="str">
        <f>IF(COUNTIF($A$2:A149,A149)&gt;1,"Duplicate","Unique")</f>
        <v>Unique</v>
      </c>
      <c r="R149" t="str">
        <f t="shared" si="12"/>
        <v>Valid</v>
      </c>
      <c r="S149" t="str">
        <f t="shared" si="13"/>
        <v>Valid</v>
      </c>
      <c r="T149" t="str">
        <f t="shared" si="14"/>
        <v>Valid</v>
      </c>
      <c r="U149" t="str">
        <f t="shared" si="15"/>
        <v>Valid</v>
      </c>
      <c r="V149" t="str">
        <f t="shared" si="16"/>
        <v>Valid</v>
      </c>
      <c r="W149" t="str">
        <f t="shared" si="17"/>
        <v>Outlier</v>
      </c>
    </row>
    <row r="150" spans="1:23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  <c r="Q150" t="str">
        <f>IF(COUNTIF($A$2:A150,A150)&gt;1,"Duplicate","Unique")</f>
        <v>Unique</v>
      </c>
      <c r="R150" t="str">
        <f t="shared" si="12"/>
        <v>Valid</v>
      </c>
      <c r="S150" t="str">
        <f t="shared" si="13"/>
        <v>Valid</v>
      </c>
      <c r="T150" t="str">
        <f t="shared" si="14"/>
        <v>Valid</v>
      </c>
      <c r="U150" t="str">
        <f t="shared" si="15"/>
        <v>Valid</v>
      </c>
      <c r="V150" t="str">
        <f t="shared" si="16"/>
        <v>Valid</v>
      </c>
      <c r="W150" t="str">
        <f t="shared" si="17"/>
        <v>Outlier</v>
      </c>
    </row>
    <row r="151" spans="1:23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  <c r="Q151" t="str">
        <f>IF(COUNTIF($A$2:A151,A151)&gt;1,"Duplicate","Unique")</f>
        <v>Unique</v>
      </c>
      <c r="R151" t="str">
        <f t="shared" si="12"/>
        <v>Valid</v>
      </c>
      <c r="S151" t="str">
        <f t="shared" si="13"/>
        <v>Valid</v>
      </c>
      <c r="T151" t="str">
        <f t="shared" si="14"/>
        <v>Valid</v>
      </c>
      <c r="U151" t="str">
        <f t="shared" si="15"/>
        <v>Valid</v>
      </c>
      <c r="V151" t="str">
        <f t="shared" si="16"/>
        <v>Valid</v>
      </c>
      <c r="W151" t="str">
        <f t="shared" si="17"/>
        <v>Outlier</v>
      </c>
    </row>
    <row r="152" spans="1:23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  <c r="Q152" t="str">
        <f>IF(COUNTIF($A$2:A152,A152)&gt;1,"Duplicate","Unique")</f>
        <v>Unique</v>
      </c>
      <c r="R152" t="str">
        <f t="shared" si="12"/>
        <v>Valid</v>
      </c>
      <c r="S152" t="str">
        <f t="shared" si="13"/>
        <v>Valid</v>
      </c>
      <c r="T152" t="str">
        <f t="shared" si="14"/>
        <v>Valid</v>
      </c>
      <c r="U152" t="str">
        <f t="shared" si="15"/>
        <v>Valid</v>
      </c>
      <c r="V152" t="str">
        <f t="shared" si="16"/>
        <v>Valid</v>
      </c>
      <c r="W152" t="str">
        <f t="shared" si="17"/>
        <v>Outlier</v>
      </c>
    </row>
    <row r="153" spans="1:23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  <c r="Q153" t="str">
        <f>IF(COUNTIF($A$2:A153,A153)&gt;1,"Duplicate","Unique")</f>
        <v>Unique</v>
      </c>
      <c r="R153" t="str">
        <f t="shared" si="12"/>
        <v>Valid</v>
      </c>
      <c r="S153" t="str">
        <f t="shared" si="13"/>
        <v>Valid</v>
      </c>
      <c r="T153" t="str">
        <f t="shared" si="14"/>
        <v>Valid</v>
      </c>
      <c r="U153" t="str">
        <f t="shared" si="15"/>
        <v>Valid</v>
      </c>
      <c r="V153" t="str">
        <f t="shared" si="16"/>
        <v>Valid</v>
      </c>
      <c r="W153" t="str">
        <f t="shared" si="17"/>
        <v>Outlier</v>
      </c>
    </row>
    <row r="154" spans="1:23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  <c r="Q154" t="str">
        <f>IF(COUNTIF($A$2:A154,A154)&gt;1,"Duplicate","Unique")</f>
        <v>Unique</v>
      </c>
      <c r="R154" t="str">
        <f t="shared" si="12"/>
        <v>Valid</v>
      </c>
      <c r="S154" t="str">
        <f t="shared" si="13"/>
        <v>Valid</v>
      </c>
      <c r="T154" t="str">
        <f t="shared" si="14"/>
        <v>Valid</v>
      </c>
      <c r="U154" t="str">
        <f t="shared" si="15"/>
        <v>Valid</v>
      </c>
      <c r="V154" t="str">
        <f t="shared" si="16"/>
        <v>Valid</v>
      </c>
      <c r="W154" t="str">
        <f t="shared" si="17"/>
        <v>Outlier</v>
      </c>
    </row>
    <row r="155" spans="1:23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Q155" t="str">
        <f>IF(COUNTIF($A$2:A155,A155)&gt;1,"Duplicate","Unique")</f>
        <v>Unique</v>
      </c>
      <c r="R155" t="str">
        <f t="shared" si="12"/>
        <v>Valid</v>
      </c>
      <c r="S155" t="str">
        <f t="shared" si="13"/>
        <v>Valid</v>
      </c>
      <c r="T155" t="str">
        <f t="shared" si="14"/>
        <v>Valid</v>
      </c>
      <c r="U155" t="str">
        <f t="shared" si="15"/>
        <v>Valid</v>
      </c>
      <c r="V155" t="str">
        <f t="shared" si="16"/>
        <v>Valid</v>
      </c>
      <c r="W155" t="str">
        <f t="shared" si="17"/>
        <v>Outlier</v>
      </c>
    </row>
    <row r="156" spans="1:23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  <c r="Q156" t="str">
        <f>IF(COUNTIF($A$2:A156,A156)&gt;1,"Duplicate","Unique")</f>
        <v>Unique</v>
      </c>
      <c r="R156" t="str">
        <f t="shared" si="12"/>
        <v>Valid</v>
      </c>
      <c r="S156" t="str">
        <f t="shared" si="13"/>
        <v>Valid</v>
      </c>
      <c r="T156" t="str">
        <f t="shared" si="14"/>
        <v>Valid</v>
      </c>
      <c r="U156" t="str">
        <f t="shared" si="15"/>
        <v>Valid</v>
      </c>
      <c r="V156" t="str">
        <f t="shared" si="16"/>
        <v>Valid</v>
      </c>
      <c r="W156" t="str">
        <f t="shared" si="17"/>
        <v>Outlier</v>
      </c>
    </row>
    <row r="157" spans="1:23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  <c r="Q157" t="str">
        <f>IF(COUNTIF($A$2:A157,A157)&gt;1,"Duplicate","Unique")</f>
        <v>Unique</v>
      </c>
      <c r="R157" t="str">
        <f t="shared" si="12"/>
        <v>Valid</v>
      </c>
      <c r="S157" t="str">
        <f t="shared" si="13"/>
        <v>Valid</v>
      </c>
      <c r="T157" t="str">
        <f t="shared" si="14"/>
        <v>Valid</v>
      </c>
      <c r="U157" t="str">
        <f t="shared" si="15"/>
        <v>Valid</v>
      </c>
      <c r="V157" t="str">
        <f t="shared" si="16"/>
        <v>Valid</v>
      </c>
      <c r="W157" t="str">
        <f t="shared" si="17"/>
        <v>Outlier</v>
      </c>
    </row>
    <row r="158" spans="1:23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  <c r="Q158" t="str">
        <f>IF(COUNTIF($A$2:A158,A158)&gt;1,"Duplicate","Unique")</f>
        <v>Unique</v>
      </c>
      <c r="R158" t="str">
        <f t="shared" si="12"/>
        <v>Valid</v>
      </c>
      <c r="S158" t="str">
        <f t="shared" si="13"/>
        <v>Valid</v>
      </c>
      <c r="T158" t="str">
        <f t="shared" si="14"/>
        <v>Valid</v>
      </c>
      <c r="U158" t="str">
        <f t="shared" si="15"/>
        <v>Valid</v>
      </c>
      <c r="V158" t="str">
        <f t="shared" si="16"/>
        <v>Valid</v>
      </c>
      <c r="W158" t="str">
        <f t="shared" si="17"/>
        <v>Outlier</v>
      </c>
    </row>
    <row r="159" spans="1:23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  <c r="Q159" t="str">
        <f>IF(COUNTIF($A$2:A159,A159)&gt;1,"Duplicate","Unique")</f>
        <v>Unique</v>
      </c>
      <c r="R159" t="str">
        <f t="shared" si="12"/>
        <v>Valid</v>
      </c>
      <c r="S159" t="str">
        <f t="shared" si="13"/>
        <v>Valid</v>
      </c>
      <c r="T159" t="str">
        <f t="shared" si="14"/>
        <v>Valid</v>
      </c>
      <c r="U159" t="str">
        <f t="shared" si="15"/>
        <v>Valid</v>
      </c>
      <c r="V159" t="str">
        <f t="shared" si="16"/>
        <v>Valid</v>
      </c>
      <c r="W159" t="str">
        <f t="shared" si="17"/>
        <v>Outlier</v>
      </c>
    </row>
    <row r="160" spans="1:23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  <c r="Q160" t="str">
        <f>IF(COUNTIF($A$2:A160,A160)&gt;1,"Duplicate","Unique")</f>
        <v>Unique</v>
      </c>
      <c r="R160" t="str">
        <f t="shared" si="12"/>
        <v>Valid</v>
      </c>
      <c r="S160" t="str">
        <f t="shared" si="13"/>
        <v>Valid</v>
      </c>
      <c r="T160" t="str">
        <f t="shared" si="14"/>
        <v>Valid</v>
      </c>
      <c r="U160" t="str">
        <f t="shared" si="15"/>
        <v>Valid</v>
      </c>
      <c r="V160" t="str">
        <f t="shared" si="16"/>
        <v>Valid</v>
      </c>
      <c r="W160" t="str">
        <f t="shared" si="17"/>
        <v>Outlier</v>
      </c>
    </row>
    <row r="161" spans="1:23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  <c r="Q161" t="str">
        <f>IF(COUNTIF($A$2:A161,A161)&gt;1,"Duplicate","Unique")</f>
        <v>Unique</v>
      </c>
      <c r="R161" t="str">
        <f t="shared" si="12"/>
        <v>Valid</v>
      </c>
      <c r="S161" t="str">
        <f t="shared" si="13"/>
        <v>Valid</v>
      </c>
      <c r="T161" t="str">
        <f t="shared" si="14"/>
        <v>Valid</v>
      </c>
      <c r="U161" t="str">
        <f t="shared" si="15"/>
        <v>Valid</v>
      </c>
      <c r="V161" t="str">
        <f t="shared" si="16"/>
        <v>Valid</v>
      </c>
      <c r="W161" t="str">
        <f t="shared" si="17"/>
        <v>Outlier</v>
      </c>
    </row>
    <row r="162" spans="1:23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  <c r="Q162" t="str">
        <f>IF(COUNTIF($A$2:A162,A162)&gt;1,"Duplicate","Unique")</f>
        <v>Unique</v>
      </c>
      <c r="R162" t="str">
        <f t="shared" si="12"/>
        <v>Valid</v>
      </c>
      <c r="S162" t="str">
        <f t="shared" si="13"/>
        <v>Valid</v>
      </c>
      <c r="T162" t="str">
        <f t="shared" si="14"/>
        <v>Valid</v>
      </c>
      <c r="U162" t="str">
        <f t="shared" si="15"/>
        <v>Valid</v>
      </c>
      <c r="V162" t="str">
        <f t="shared" si="16"/>
        <v>Valid</v>
      </c>
      <c r="W162" t="str">
        <f t="shared" si="17"/>
        <v>Outlier</v>
      </c>
    </row>
    <row r="163" spans="1:23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Q163" t="str">
        <f>IF(COUNTIF($A$2:A163,A163)&gt;1,"Duplicate","Unique")</f>
        <v>Unique</v>
      </c>
      <c r="R163" t="str">
        <f t="shared" si="12"/>
        <v>Valid</v>
      </c>
      <c r="S163" t="str">
        <f t="shared" si="13"/>
        <v>Valid</v>
      </c>
      <c r="T163" t="str">
        <f t="shared" si="14"/>
        <v>Valid</v>
      </c>
      <c r="U163" t="str">
        <f t="shared" si="15"/>
        <v>Valid</v>
      </c>
      <c r="V163" t="str">
        <f t="shared" si="16"/>
        <v>Valid</v>
      </c>
      <c r="W163" t="str">
        <f t="shared" si="17"/>
        <v>Outlier</v>
      </c>
    </row>
    <row r="164" spans="1:23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  <c r="Q164" t="str">
        <f>IF(COUNTIF($A$2:A164,A164)&gt;1,"Duplicate","Unique")</f>
        <v>Unique</v>
      </c>
      <c r="R164" t="str">
        <f t="shared" si="12"/>
        <v>Valid</v>
      </c>
      <c r="S164" t="str">
        <f t="shared" si="13"/>
        <v>Valid</v>
      </c>
      <c r="T164" t="str">
        <f t="shared" si="14"/>
        <v>Valid</v>
      </c>
      <c r="U164" t="str">
        <f t="shared" si="15"/>
        <v>Valid</v>
      </c>
      <c r="V164" t="str">
        <f t="shared" si="16"/>
        <v>Valid</v>
      </c>
      <c r="W164" t="str">
        <f t="shared" si="17"/>
        <v>Outlier</v>
      </c>
    </row>
    <row r="165" spans="1:23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  <c r="Q165" t="str">
        <f>IF(COUNTIF($A$2:A165,A165)&gt;1,"Duplicate","Unique")</f>
        <v>Unique</v>
      </c>
      <c r="R165" t="str">
        <f t="shared" si="12"/>
        <v>Valid</v>
      </c>
      <c r="S165" t="str">
        <f t="shared" si="13"/>
        <v>Valid</v>
      </c>
      <c r="T165" t="str">
        <f t="shared" si="14"/>
        <v>Valid</v>
      </c>
      <c r="U165" t="str">
        <f t="shared" si="15"/>
        <v>Valid</v>
      </c>
      <c r="V165" t="str">
        <f t="shared" si="16"/>
        <v>Valid</v>
      </c>
      <c r="W165" t="str">
        <f t="shared" si="17"/>
        <v>Outlier</v>
      </c>
    </row>
    <row r="166" spans="1:23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  <c r="Q166" t="str">
        <f>IF(COUNTIF($A$2:A166,A166)&gt;1,"Duplicate","Unique")</f>
        <v>Unique</v>
      </c>
      <c r="R166" t="str">
        <f t="shared" si="12"/>
        <v>Valid</v>
      </c>
      <c r="S166" t="str">
        <f t="shared" si="13"/>
        <v>Valid</v>
      </c>
      <c r="T166" t="str">
        <f t="shared" si="14"/>
        <v>Valid</v>
      </c>
      <c r="U166" t="str">
        <f t="shared" si="15"/>
        <v>Valid</v>
      </c>
      <c r="V166" t="str">
        <f t="shared" si="16"/>
        <v>Valid</v>
      </c>
      <c r="W166" t="str">
        <f t="shared" si="17"/>
        <v>Outlier</v>
      </c>
    </row>
    <row r="167" spans="1:23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  <c r="Q167" t="str">
        <f>IF(COUNTIF($A$2:A167,A167)&gt;1,"Duplicate","Unique")</f>
        <v>Unique</v>
      </c>
      <c r="R167" t="str">
        <f t="shared" si="12"/>
        <v>Valid</v>
      </c>
      <c r="S167" t="str">
        <f t="shared" si="13"/>
        <v>Valid</v>
      </c>
      <c r="T167" t="str">
        <f t="shared" si="14"/>
        <v>Valid</v>
      </c>
      <c r="U167" t="str">
        <f t="shared" si="15"/>
        <v>Valid</v>
      </c>
      <c r="V167" t="str">
        <f t="shared" si="16"/>
        <v>Valid</v>
      </c>
      <c r="W167" t="str">
        <f t="shared" si="17"/>
        <v>Outlier</v>
      </c>
    </row>
    <row r="168" spans="1:23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  <c r="Q168" t="str">
        <f>IF(COUNTIF($A$2:A168,A168)&gt;1,"Duplicate","Unique")</f>
        <v>Unique</v>
      </c>
      <c r="R168" t="str">
        <f t="shared" si="12"/>
        <v>Valid</v>
      </c>
      <c r="S168" t="str">
        <f t="shared" si="13"/>
        <v>Valid</v>
      </c>
      <c r="T168" t="str">
        <f t="shared" si="14"/>
        <v>Valid</v>
      </c>
      <c r="U168" t="str">
        <f t="shared" si="15"/>
        <v>Valid</v>
      </c>
      <c r="V168" t="str">
        <f t="shared" si="16"/>
        <v>Valid</v>
      </c>
      <c r="W168" t="str">
        <f t="shared" si="17"/>
        <v>Outlier</v>
      </c>
    </row>
    <row r="169" spans="1:23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Q169" t="str">
        <f>IF(COUNTIF($A$2:A169,A169)&gt;1,"Duplicate","Unique")</f>
        <v>Unique</v>
      </c>
      <c r="R169" t="str">
        <f t="shared" si="12"/>
        <v>Valid</v>
      </c>
      <c r="S169" t="str">
        <f t="shared" si="13"/>
        <v>Valid</v>
      </c>
      <c r="T169" t="str">
        <f t="shared" si="14"/>
        <v>Valid</v>
      </c>
      <c r="U169" t="str">
        <f t="shared" si="15"/>
        <v>Valid</v>
      </c>
      <c r="V169" t="str">
        <f t="shared" si="16"/>
        <v>Valid</v>
      </c>
      <c r="W169" t="str">
        <f t="shared" si="17"/>
        <v>Outlier</v>
      </c>
    </row>
    <row r="170" spans="1:23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  <c r="Q170" t="str">
        <f>IF(COUNTIF($A$2:A170,A170)&gt;1,"Duplicate","Unique")</f>
        <v>Unique</v>
      </c>
      <c r="R170" t="str">
        <f t="shared" si="12"/>
        <v>Valid</v>
      </c>
      <c r="S170" t="str">
        <f t="shared" si="13"/>
        <v>Valid</v>
      </c>
      <c r="T170" t="str">
        <f t="shared" si="14"/>
        <v>Valid</v>
      </c>
      <c r="U170" t="str">
        <f t="shared" si="15"/>
        <v>Valid</v>
      </c>
      <c r="V170" t="str">
        <f t="shared" si="16"/>
        <v>Valid</v>
      </c>
      <c r="W170" t="str">
        <f t="shared" si="17"/>
        <v>Outlier</v>
      </c>
    </row>
    <row r="171" spans="1:23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  <c r="Q171" t="str">
        <f>IF(COUNTIF($A$2:A171,A171)&gt;1,"Duplicate","Unique")</f>
        <v>Unique</v>
      </c>
      <c r="R171" t="str">
        <f t="shared" si="12"/>
        <v>Valid</v>
      </c>
      <c r="S171" t="str">
        <f t="shared" si="13"/>
        <v>Valid</v>
      </c>
      <c r="T171" t="str">
        <f t="shared" si="14"/>
        <v>Valid</v>
      </c>
      <c r="U171" t="str">
        <f t="shared" si="15"/>
        <v>Valid</v>
      </c>
      <c r="V171" t="str">
        <f t="shared" si="16"/>
        <v>Valid</v>
      </c>
      <c r="W171" t="str">
        <f t="shared" si="17"/>
        <v>Outlier</v>
      </c>
    </row>
    <row r="172" spans="1:23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  <c r="Q172" t="str">
        <f>IF(COUNTIF($A$2:A172,A172)&gt;1,"Duplicate","Unique")</f>
        <v>Unique</v>
      </c>
      <c r="R172" t="str">
        <f t="shared" si="12"/>
        <v>Valid</v>
      </c>
      <c r="S172" t="str">
        <f t="shared" si="13"/>
        <v>Valid</v>
      </c>
      <c r="T172" t="str">
        <f t="shared" si="14"/>
        <v>Valid</v>
      </c>
      <c r="U172" t="str">
        <f t="shared" si="15"/>
        <v>Valid</v>
      </c>
      <c r="V172" t="str">
        <f t="shared" si="16"/>
        <v>Valid</v>
      </c>
      <c r="W172" t="str">
        <f t="shared" si="17"/>
        <v>Outlier</v>
      </c>
    </row>
    <row r="173" spans="1:23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  <c r="Q173" t="str">
        <f>IF(COUNTIF($A$2:A173,A173)&gt;1,"Duplicate","Unique")</f>
        <v>Unique</v>
      </c>
      <c r="R173" t="str">
        <f t="shared" si="12"/>
        <v>Valid</v>
      </c>
      <c r="S173" t="str">
        <f t="shared" si="13"/>
        <v>Valid</v>
      </c>
      <c r="T173" t="str">
        <f t="shared" si="14"/>
        <v>Valid</v>
      </c>
      <c r="U173" t="str">
        <f t="shared" si="15"/>
        <v>Valid</v>
      </c>
      <c r="V173" t="str">
        <f t="shared" si="16"/>
        <v>Valid</v>
      </c>
      <c r="W173" t="str">
        <f t="shared" si="17"/>
        <v>Outlier</v>
      </c>
    </row>
    <row r="174" spans="1:23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  <c r="Q174" t="str">
        <f>IF(COUNTIF($A$2:A174,A174)&gt;1,"Duplicate","Unique")</f>
        <v>Unique</v>
      </c>
      <c r="R174" t="str">
        <f t="shared" si="12"/>
        <v>Valid</v>
      </c>
      <c r="S174" t="str">
        <f t="shared" si="13"/>
        <v>Valid</v>
      </c>
      <c r="T174" t="str">
        <f t="shared" si="14"/>
        <v>Valid</v>
      </c>
      <c r="U174" t="str">
        <f t="shared" si="15"/>
        <v>Valid</v>
      </c>
      <c r="V174" t="str">
        <f t="shared" si="16"/>
        <v>Valid</v>
      </c>
      <c r="W174" t="str">
        <f t="shared" si="17"/>
        <v>Outlier</v>
      </c>
    </row>
    <row r="175" spans="1:23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  <c r="Q175" t="str">
        <f>IF(COUNTIF($A$2:A175,A175)&gt;1,"Duplicate","Unique")</f>
        <v>Unique</v>
      </c>
      <c r="R175" t="str">
        <f t="shared" si="12"/>
        <v>Valid</v>
      </c>
      <c r="S175" t="str">
        <f t="shared" si="13"/>
        <v>Valid</v>
      </c>
      <c r="T175" t="str">
        <f t="shared" si="14"/>
        <v>Valid</v>
      </c>
      <c r="U175" t="str">
        <f t="shared" si="15"/>
        <v>Valid</v>
      </c>
      <c r="V175" t="str">
        <f t="shared" si="16"/>
        <v>Valid</v>
      </c>
      <c r="W175" t="str">
        <f t="shared" si="17"/>
        <v>Outlier</v>
      </c>
    </row>
    <row r="176" spans="1:23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  <c r="Q176" t="str">
        <f>IF(COUNTIF($A$2:A176,A176)&gt;1,"Duplicate","Unique")</f>
        <v>Unique</v>
      </c>
      <c r="R176" t="str">
        <f t="shared" si="12"/>
        <v>Valid</v>
      </c>
      <c r="S176" t="str">
        <f t="shared" si="13"/>
        <v>Valid</v>
      </c>
      <c r="T176" t="str">
        <f t="shared" si="14"/>
        <v>Valid</v>
      </c>
      <c r="U176" t="str">
        <f t="shared" si="15"/>
        <v>Valid</v>
      </c>
      <c r="V176" t="str">
        <f t="shared" si="16"/>
        <v>Valid</v>
      </c>
      <c r="W176" t="str">
        <f t="shared" si="17"/>
        <v>Outlier</v>
      </c>
    </row>
    <row r="177" spans="1:23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  <c r="Q177" t="str">
        <f>IF(COUNTIF($A$2:A177,A177)&gt;1,"Duplicate","Unique")</f>
        <v>Unique</v>
      </c>
      <c r="R177" t="str">
        <f t="shared" si="12"/>
        <v>Valid</v>
      </c>
      <c r="S177" t="str">
        <f t="shared" si="13"/>
        <v>Valid</v>
      </c>
      <c r="T177" t="str">
        <f t="shared" si="14"/>
        <v>Valid</v>
      </c>
      <c r="U177" t="str">
        <f t="shared" si="15"/>
        <v>Valid</v>
      </c>
      <c r="V177" t="str">
        <f t="shared" si="16"/>
        <v>Valid</v>
      </c>
      <c r="W177" t="str">
        <f t="shared" si="17"/>
        <v>Outlier</v>
      </c>
    </row>
    <row r="178" spans="1:23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  <c r="Q178" t="str">
        <f>IF(COUNTIF($A$2:A178,A178)&gt;1,"Duplicate","Unique")</f>
        <v>Unique</v>
      </c>
      <c r="R178" t="str">
        <f t="shared" si="12"/>
        <v>Valid</v>
      </c>
      <c r="S178" t="str">
        <f t="shared" si="13"/>
        <v>Valid</v>
      </c>
      <c r="T178" t="str">
        <f t="shared" si="14"/>
        <v>Valid</v>
      </c>
      <c r="U178" t="str">
        <f t="shared" si="15"/>
        <v>Valid</v>
      </c>
      <c r="V178" t="str">
        <f t="shared" si="16"/>
        <v>Valid</v>
      </c>
      <c r="W178" t="str">
        <f t="shared" si="17"/>
        <v>Outlier</v>
      </c>
    </row>
    <row r="179" spans="1:23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  <c r="Q179" t="str">
        <f>IF(COUNTIF($A$2:A179,A179)&gt;1,"Duplicate","Unique")</f>
        <v>Unique</v>
      </c>
      <c r="R179" t="str">
        <f t="shared" si="12"/>
        <v>Valid</v>
      </c>
      <c r="S179" t="str">
        <f t="shared" si="13"/>
        <v>Valid</v>
      </c>
      <c r="T179" t="str">
        <f t="shared" si="14"/>
        <v>Valid</v>
      </c>
      <c r="U179" t="str">
        <f t="shared" si="15"/>
        <v>Valid</v>
      </c>
      <c r="V179" t="str">
        <f t="shared" si="16"/>
        <v>Valid</v>
      </c>
      <c r="W179" t="str">
        <f t="shared" si="17"/>
        <v>Outlier</v>
      </c>
    </row>
    <row r="180" spans="1:23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  <c r="Q180" t="str">
        <f>IF(COUNTIF($A$2:A180,A180)&gt;1,"Duplicate","Unique")</f>
        <v>Unique</v>
      </c>
      <c r="R180" t="str">
        <f t="shared" si="12"/>
        <v>Valid</v>
      </c>
      <c r="S180" t="str">
        <f t="shared" si="13"/>
        <v>Valid</v>
      </c>
      <c r="T180" t="str">
        <f t="shared" si="14"/>
        <v>Valid</v>
      </c>
      <c r="U180" t="str">
        <f t="shared" si="15"/>
        <v>Valid</v>
      </c>
      <c r="V180" t="str">
        <f t="shared" si="16"/>
        <v>Valid</v>
      </c>
      <c r="W180" t="str">
        <f t="shared" si="17"/>
        <v>Outlier</v>
      </c>
    </row>
    <row r="181" spans="1:23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  <c r="Q181" t="str">
        <f>IF(COUNTIF($A$2:A181,A181)&gt;1,"Duplicate","Unique")</f>
        <v>Unique</v>
      </c>
      <c r="R181" t="str">
        <f t="shared" si="12"/>
        <v>Valid</v>
      </c>
      <c r="S181" t="str">
        <f t="shared" si="13"/>
        <v>Valid</v>
      </c>
      <c r="T181" t="str">
        <f t="shared" si="14"/>
        <v>Valid</v>
      </c>
      <c r="U181" t="str">
        <f t="shared" si="15"/>
        <v>Valid</v>
      </c>
      <c r="V181" t="str">
        <f t="shared" si="16"/>
        <v>Valid</v>
      </c>
      <c r="W181" t="str">
        <f t="shared" si="17"/>
        <v>Outlier</v>
      </c>
    </row>
    <row r="182" spans="1:23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  <c r="Q182" t="str">
        <f>IF(COUNTIF($A$2:A182,A182)&gt;1,"Duplicate","Unique")</f>
        <v>Unique</v>
      </c>
      <c r="R182" t="str">
        <f t="shared" si="12"/>
        <v>Valid</v>
      </c>
      <c r="S182" t="str">
        <f t="shared" si="13"/>
        <v>Valid</v>
      </c>
      <c r="T182" t="str">
        <f t="shared" si="14"/>
        <v>Valid</v>
      </c>
      <c r="U182" t="str">
        <f t="shared" si="15"/>
        <v>Valid</v>
      </c>
      <c r="V182" t="str">
        <f t="shared" si="16"/>
        <v>Valid</v>
      </c>
      <c r="W182" t="str">
        <f t="shared" si="17"/>
        <v>Outlier</v>
      </c>
    </row>
    <row r="183" spans="1:23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  <c r="Q183" t="str">
        <f>IF(COUNTIF($A$2:A183,A183)&gt;1,"Duplicate","Unique")</f>
        <v>Unique</v>
      </c>
      <c r="R183" t="str">
        <f t="shared" si="12"/>
        <v>Valid</v>
      </c>
      <c r="S183" t="str">
        <f t="shared" si="13"/>
        <v>Valid</v>
      </c>
      <c r="T183" t="str">
        <f t="shared" si="14"/>
        <v>Valid</v>
      </c>
      <c r="U183" t="str">
        <f t="shared" si="15"/>
        <v>Valid</v>
      </c>
      <c r="V183" t="str">
        <f t="shared" si="16"/>
        <v>Valid</v>
      </c>
      <c r="W183" t="str">
        <f t="shared" si="17"/>
        <v>Outlier</v>
      </c>
    </row>
    <row r="184" spans="1:23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  <c r="Q184" t="str">
        <f>IF(COUNTIF($A$2:A184,A184)&gt;1,"Duplicate","Unique")</f>
        <v>Unique</v>
      </c>
      <c r="R184" t="str">
        <f t="shared" si="12"/>
        <v>Valid</v>
      </c>
      <c r="S184" t="str">
        <f t="shared" si="13"/>
        <v>Valid</v>
      </c>
      <c r="T184" t="str">
        <f t="shared" si="14"/>
        <v>Valid</v>
      </c>
      <c r="U184" t="str">
        <f t="shared" si="15"/>
        <v>Valid</v>
      </c>
      <c r="V184" t="str">
        <f t="shared" si="16"/>
        <v>Valid</v>
      </c>
      <c r="W184" t="str">
        <f t="shared" si="17"/>
        <v>Outlier</v>
      </c>
    </row>
    <row r="185" spans="1:23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  <c r="Q185" t="str">
        <f>IF(COUNTIF($A$2:A185,A185)&gt;1,"Duplicate","Unique")</f>
        <v>Unique</v>
      </c>
      <c r="R185" t="str">
        <f t="shared" si="12"/>
        <v>Valid</v>
      </c>
      <c r="S185" t="str">
        <f t="shared" si="13"/>
        <v>Valid</v>
      </c>
      <c r="T185" t="str">
        <f t="shared" si="14"/>
        <v>Valid</v>
      </c>
      <c r="U185" t="str">
        <f t="shared" si="15"/>
        <v>Valid</v>
      </c>
      <c r="V185" t="str">
        <f t="shared" si="16"/>
        <v>Valid</v>
      </c>
      <c r="W185" t="str">
        <f t="shared" si="17"/>
        <v>Outlier</v>
      </c>
    </row>
    <row r="186" spans="1:23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  <c r="Q186" t="str">
        <f>IF(COUNTIF($A$2:A186,A186)&gt;1,"Duplicate","Unique")</f>
        <v>Unique</v>
      </c>
      <c r="R186" t="str">
        <f t="shared" si="12"/>
        <v>Valid</v>
      </c>
      <c r="S186" t="str">
        <f t="shared" si="13"/>
        <v>Valid</v>
      </c>
      <c r="T186" t="str">
        <f t="shared" si="14"/>
        <v>Valid</v>
      </c>
      <c r="U186" t="str">
        <f t="shared" si="15"/>
        <v>Valid</v>
      </c>
      <c r="V186" t="str">
        <f t="shared" si="16"/>
        <v>Valid</v>
      </c>
      <c r="W186" t="str">
        <f t="shared" si="17"/>
        <v>Outlier</v>
      </c>
    </row>
    <row r="187" spans="1:23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  <c r="Q187" t="str">
        <f>IF(COUNTIF($A$2:A187,A187)&gt;1,"Duplicate","Unique")</f>
        <v>Unique</v>
      </c>
      <c r="R187" t="str">
        <f t="shared" si="12"/>
        <v>Valid</v>
      </c>
      <c r="S187" t="str">
        <f t="shared" si="13"/>
        <v>Valid</v>
      </c>
      <c r="T187" t="str">
        <f t="shared" si="14"/>
        <v>Valid</v>
      </c>
      <c r="U187" t="str">
        <f t="shared" si="15"/>
        <v>Valid</v>
      </c>
      <c r="V187" t="str">
        <f t="shared" si="16"/>
        <v>Valid</v>
      </c>
      <c r="W187" t="str">
        <f t="shared" si="17"/>
        <v>Outlier</v>
      </c>
    </row>
    <row r="188" spans="1:23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  <c r="Q188" t="str">
        <f>IF(COUNTIF($A$2:A188,A188)&gt;1,"Duplicate","Unique")</f>
        <v>Unique</v>
      </c>
      <c r="R188" t="str">
        <f t="shared" si="12"/>
        <v>Valid</v>
      </c>
      <c r="S188" t="str">
        <f t="shared" si="13"/>
        <v>Valid</v>
      </c>
      <c r="T188" t="str">
        <f t="shared" si="14"/>
        <v>Valid</v>
      </c>
      <c r="U188" t="str">
        <f t="shared" si="15"/>
        <v>Valid</v>
      </c>
      <c r="V188" t="str">
        <f t="shared" si="16"/>
        <v>Valid</v>
      </c>
      <c r="W188" t="str">
        <f t="shared" si="17"/>
        <v>Outlier</v>
      </c>
    </row>
    <row r="189" spans="1:23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  <c r="Q189" t="str">
        <f>IF(COUNTIF($A$2:A189,A189)&gt;1,"Duplicate","Unique")</f>
        <v>Unique</v>
      </c>
      <c r="R189" t="str">
        <f t="shared" si="12"/>
        <v>Valid</v>
      </c>
      <c r="S189" t="str">
        <f t="shared" si="13"/>
        <v>Valid</v>
      </c>
      <c r="T189" t="str">
        <f t="shared" si="14"/>
        <v>Valid</v>
      </c>
      <c r="U189" t="str">
        <f t="shared" si="15"/>
        <v>Valid</v>
      </c>
      <c r="V189" t="str">
        <f t="shared" si="16"/>
        <v>Valid</v>
      </c>
      <c r="W189" t="str">
        <f t="shared" si="17"/>
        <v>Outlier</v>
      </c>
    </row>
    <row r="190" spans="1:23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  <c r="Q190" t="str">
        <f>IF(COUNTIF($A$2:A190,A190)&gt;1,"Duplicate","Unique")</f>
        <v>Unique</v>
      </c>
      <c r="R190" t="str">
        <f t="shared" si="12"/>
        <v>Valid</v>
      </c>
      <c r="S190" t="str">
        <f t="shared" si="13"/>
        <v>Valid</v>
      </c>
      <c r="T190" t="str">
        <f t="shared" si="14"/>
        <v>Valid</v>
      </c>
      <c r="U190" t="str">
        <f t="shared" si="15"/>
        <v>Valid</v>
      </c>
      <c r="V190" t="str">
        <f t="shared" si="16"/>
        <v>Valid</v>
      </c>
      <c r="W190" t="str">
        <f t="shared" si="17"/>
        <v>Outlier</v>
      </c>
    </row>
    <row r="191" spans="1:23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  <c r="Q191" t="str">
        <f>IF(COUNTIF($A$2:A191,A191)&gt;1,"Duplicate","Unique")</f>
        <v>Unique</v>
      </c>
      <c r="R191" t="str">
        <f t="shared" si="12"/>
        <v>Valid</v>
      </c>
      <c r="S191" t="str">
        <f t="shared" si="13"/>
        <v>Valid</v>
      </c>
      <c r="T191" t="str">
        <f t="shared" si="14"/>
        <v>Valid</v>
      </c>
      <c r="U191" t="str">
        <f t="shared" si="15"/>
        <v>Valid</v>
      </c>
      <c r="V191" t="str">
        <f t="shared" si="16"/>
        <v>Valid</v>
      </c>
      <c r="W191" t="str">
        <f t="shared" si="17"/>
        <v>Outlier</v>
      </c>
    </row>
    <row r="192" spans="1:23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  <c r="Q192" t="str">
        <f>IF(COUNTIF($A$2:A192,A192)&gt;1,"Duplicate","Unique")</f>
        <v>Unique</v>
      </c>
      <c r="R192" t="str">
        <f t="shared" si="12"/>
        <v>Valid</v>
      </c>
      <c r="S192" t="str">
        <f t="shared" si="13"/>
        <v>Valid</v>
      </c>
      <c r="T192" t="str">
        <f t="shared" si="14"/>
        <v>Valid</v>
      </c>
      <c r="U192" t="str">
        <f t="shared" si="15"/>
        <v>Valid</v>
      </c>
      <c r="V192" t="str">
        <f t="shared" si="16"/>
        <v>Valid</v>
      </c>
      <c r="W192" t="str">
        <f t="shared" si="17"/>
        <v>Outlier</v>
      </c>
    </row>
    <row r="193" spans="1:23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  <c r="Q193" t="str">
        <f>IF(COUNTIF($A$2:A193,A193)&gt;1,"Duplicate","Unique")</f>
        <v>Unique</v>
      </c>
      <c r="R193" t="str">
        <f t="shared" si="12"/>
        <v>Valid</v>
      </c>
      <c r="S193" t="str">
        <f t="shared" si="13"/>
        <v>Valid</v>
      </c>
      <c r="T193" t="str">
        <f t="shared" si="14"/>
        <v>Valid</v>
      </c>
      <c r="U193" t="str">
        <f t="shared" si="15"/>
        <v>Valid</v>
      </c>
      <c r="V193" t="str">
        <f t="shared" si="16"/>
        <v>Valid</v>
      </c>
      <c r="W193" t="str">
        <f t="shared" si="17"/>
        <v>Outlier</v>
      </c>
    </row>
    <row r="194" spans="1:23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  <c r="Q194" t="str">
        <f>IF(COUNTIF($A$2:A194,A194)&gt;1,"Duplicate","Unique")</f>
        <v>Unique</v>
      </c>
      <c r="R194" t="str">
        <f t="shared" si="12"/>
        <v>Valid</v>
      </c>
      <c r="S194" t="str">
        <f t="shared" si="13"/>
        <v>Valid</v>
      </c>
      <c r="T194" t="str">
        <f t="shared" si="14"/>
        <v>Valid</v>
      </c>
      <c r="U194" t="str">
        <f t="shared" si="15"/>
        <v>Valid</v>
      </c>
      <c r="V194" t="str">
        <f t="shared" si="16"/>
        <v>Valid</v>
      </c>
      <c r="W194" t="str">
        <f t="shared" si="17"/>
        <v>Outlier</v>
      </c>
    </row>
    <row r="195" spans="1:23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  <c r="Q195" t="str">
        <f>IF(COUNTIF($A$2:A195,A195)&gt;1,"Duplicate","Unique")</f>
        <v>Unique</v>
      </c>
      <c r="R195" t="str">
        <f t="shared" ref="R195:R258" si="18">IF(OR(H195=0,H195=1),"Valid","Invalid")</f>
        <v>Valid</v>
      </c>
      <c r="S195" t="str">
        <f t="shared" ref="S195:S258" si="19">IF(OR(I195=0,I195=1),"Valid","Invalid")</f>
        <v>Valid</v>
      </c>
      <c r="T195" t="str">
        <f t="shared" ref="T195:T258" si="20">IF(OR(J195=0,J195=1),"Valid","Invalid")</f>
        <v>Valid</v>
      </c>
      <c r="U195" t="str">
        <f t="shared" ref="U195:U258" si="21">IF(OR(K195=0,K195=1),"Valid","Invalid")</f>
        <v>Valid</v>
      </c>
      <c r="V195" t="str">
        <f t="shared" ref="V195:V258" si="22">IF(OR(N195=0,N195=1),"Valid","Invalid")</f>
        <v>Valid</v>
      </c>
      <c r="W195" t="str">
        <f t="shared" ref="W195:W258" si="23">IF(OR(L195&lt;$B$23,L195&gt;$B$24),"Outlier","Normal")</f>
        <v>Outlier</v>
      </c>
    </row>
    <row r="196" spans="1:23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  <c r="Q196" t="str">
        <f>IF(COUNTIF($A$2:A196,A196)&gt;1,"Duplicate","Unique")</f>
        <v>Unique</v>
      </c>
      <c r="R196" t="str">
        <f t="shared" si="18"/>
        <v>Valid</v>
      </c>
      <c r="S196" t="str">
        <f t="shared" si="19"/>
        <v>Valid</v>
      </c>
      <c r="T196" t="str">
        <f t="shared" si="20"/>
        <v>Valid</v>
      </c>
      <c r="U196" t="str">
        <f t="shared" si="21"/>
        <v>Valid</v>
      </c>
      <c r="V196" t="str">
        <f t="shared" si="22"/>
        <v>Valid</v>
      </c>
      <c r="W196" t="str">
        <f t="shared" si="23"/>
        <v>Outlier</v>
      </c>
    </row>
    <row r="197" spans="1:23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  <c r="Q197" t="str">
        <f>IF(COUNTIF($A$2:A197,A197)&gt;1,"Duplicate","Unique")</f>
        <v>Unique</v>
      </c>
      <c r="R197" t="str">
        <f t="shared" si="18"/>
        <v>Valid</v>
      </c>
      <c r="S197" t="str">
        <f t="shared" si="19"/>
        <v>Valid</v>
      </c>
      <c r="T197" t="str">
        <f t="shared" si="20"/>
        <v>Valid</v>
      </c>
      <c r="U197" t="str">
        <f t="shared" si="21"/>
        <v>Valid</v>
      </c>
      <c r="V197" t="str">
        <f t="shared" si="22"/>
        <v>Valid</v>
      </c>
      <c r="W197" t="str">
        <f t="shared" si="23"/>
        <v>Outlier</v>
      </c>
    </row>
    <row r="198" spans="1:23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  <c r="Q198" t="str">
        <f>IF(COUNTIF($A$2:A198,A198)&gt;1,"Duplicate","Unique")</f>
        <v>Unique</v>
      </c>
      <c r="R198" t="str">
        <f t="shared" si="18"/>
        <v>Valid</v>
      </c>
      <c r="S198" t="str">
        <f t="shared" si="19"/>
        <v>Valid</v>
      </c>
      <c r="T198" t="str">
        <f t="shared" si="20"/>
        <v>Valid</v>
      </c>
      <c r="U198" t="str">
        <f t="shared" si="21"/>
        <v>Valid</v>
      </c>
      <c r="V198" t="str">
        <f t="shared" si="22"/>
        <v>Valid</v>
      </c>
      <c r="W198" t="str">
        <f t="shared" si="23"/>
        <v>Outlier</v>
      </c>
    </row>
    <row r="199" spans="1:23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  <c r="Q199" t="str">
        <f>IF(COUNTIF($A$2:A199,A199)&gt;1,"Duplicate","Unique")</f>
        <v>Unique</v>
      </c>
      <c r="R199" t="str">
        <f t="shared" si="18"/>
        <v>Valid</v>
      </c>
      <c r="S199" t="str">
        <f t="shared" si="19"/>
        <v>Valid</v>
      </c>
      <c r="T199" t="str">
        <f t="shared" si="20"/>
        <v>Valid</v>
      </c>
      <c r="U199" t="str">
        <f t="shared" si="21"/>
        <v>Valid</v>
      </c>
      <c r="V199" t="str">
        <f t="shared" si="22"/>
        <v>Valid</v>
      </c>
      <c r="W199" t="str">
        <f t="shared" si="23"/>
        <v>Outlier</v>
      </c>
    </row>
    <row r="200" spans="1:23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  <c r="Q200" t="str">
        <f>IF(COUNTIF($A$2:A200,A200)&gt;1,"Duplicate","Unique")</f>
        <v>Unique</v>
      </c>
      <c r="R200" t="str">
        <f t="shared" si="18"/>
        <v>Valid</v>
      </c>
      <c r="S200" t="str">
        <f t="shared" si="19"/>
        <v>Valid</v>
      </c>
      <c r="T200" t="str">
        <f t="shared" si="20"/>
        <v>Valid</v>
      </c>
      <c r="U200" t="str">
        <f t="shared" si="21"/>
        <v>Valid</v>
      </c>
      <c r="V200" t="str">
        <f t="shared" si="22"/>
        <v>Valid</v>
      </c>
      <c r="W200" t="str">
        <f t="shared" si="23"/>
        <v>Outlier</v>
      </c>
    </row>
    <row r="201" spans="1:23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  <c r="Q201" t="str">
        <f>IF(COUNTIF($A$2:A201,A201)&gt;1,"Duplicate","Unique")</f>
        <v>Unique</v>
      </c>
      <c r="R201" t="str">
        <f t="shared" si="18"/>
        <v>Valid</v>
      </c>
      <c r="S201" t="str">
        <f t="shared" si="19"/>
        <v>Valid</v>
      </c>
      <c r="T201" t="str">
        <f t="shared" si="20"/>
        <v>Valid</v>
      </c>
      <c r="U201" t="str">
        <f t="shared" si="21"/>
        <v>Valid</v>
      </c>
      <c r="V201" t="str">
        <f t="shared" si="22"/>
        <v>Valid</v>
      </c>
      <c r="W201" t="str">
        <f t="shared" si="23"/>
        <v>Outlier</v>
      </c>
    </row>
    <row r="202" spans="1:23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  <c r="Q202" t="str">
        <f>IF(COUNTIF($A$2:A202,A202)&gt;1,"Duplicate","Unique")</f>
        <v>Unique</v>
      </c>
      <c r="R202" t="str">
        <f t="shared" si="18"/>
        <v>Valid</v>
      </c>
      <c r="S202" t="str">
        <f t="shared" si="19"/>
        <v>Valid</v>
      </c>
      <c r="T202" t="str">
        <f t="shared" si="20"/>
        <v>Valid</v>
      </c>
      <c r="U202" t="str">
        <f t="shared" si="21"/>
        <v>Valid</v>
      </c>
      <c r="V202" t="str">
        <f t="shared" si="22"/>
        <v>Valid</v>
      </c>
      <c r="W202" t="str">
        <f t="shared" si="23"/>
        <v>Outlier</v>
      </c>
    </row>
    <row r="203" spans="1:23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  <c r="Q203" t="str">
        <f>IF(COUNTIF($A$2:A203,A203)&gt;1,"Duplicate","Unique")</f>
        <v>Unique</v>
      </c>
      <c r="R203" t="str">
        <f t="shared" si="18"/>
        <v>Valid</v>
      </c>
      <c r="S203" t="str">
        <f t="shared" si="19"/>
        <v>Valid</v>
      </c>
      <c r="T203" t="str">
        <f t="shared" si="20"/>
        <v>Valid</v>
      </c>
      <c r="U203" t="str">
        <f t="shared" si="21"/>
        <v>Valid</v>
      </c>
      <c r="V203" t="str">
        <f t="shared" si="22"/>
        <v>Valid</v>
      </c>
      <c r="W203" t="str">
        <f t="shared" si="23"/>
        <v>Outlier</v>
      </c>
    </row>
    <row r="204" spans="1:23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  <c r="Q204" t="str">
        <f>IF(COUNTIF($A$2:A204,A204)&gt;1,"Duplicate","Unique")</f>
        <v>Unique</v>
      </c>
      <c r="R204" t="str">
        <f t="shared" si="18"/>
        <v>Valid</v>
      </c>
      <c r="S204" t="str">
        <f t="shared" si="19"/>
        <v>Valid</v>
      </c>
      <c r="T204" t="str">
        <f t="shared" si="20"/>
        <v>Valid</v>
      </c>
      <c r="U204" t="str">
        <f t="shared" si="21"/>
        <v>Valid</v>
      </c>
      <c r="V204" t="str">
        <f t="shared" si="22"/>
        <v>Valid</v>
      </c>
      <c r="W204" t="str">
        <f t="shared" si="23"/>
        <v>Outlier</v>
      </c>
    </row>
    <row r="205" spans="1:23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  <c r="Q205" t="str">
        <f>IF(COUNTIF($A$2:A205,A205)&gt;1,"Duplicate","Unique")</f>
        <v>Unique</v>
      </c>
      <c r="R205" t="str">
        <f t="shared" si="18"/>
        <v>Valid</v>
      </c>
      <c r="S205" t="str">
        <f t="shared" si="19"/>
        <v>Valid</v>
      </c>
      <c r="T205" t="str">
        <f t="shared" si="20"/>
        <v>Valid</v>
      </c>
      <c r="U205" t="str">
        <f t="shared" si="21"/>
        <v>Valid</v>
      </c>
      <c r="V205" t="str">
        <f t="shared" si="22"/>
        <v>Valid</v>
      </c>
      <c r="W205" t="str">
        <f t="shared" si="23"/>
        <v>Outlier</v>
      </c>
    </row>
    <row r="206" spans="1:23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  <c r="Q206" t="str">
        <f>IF(COUNTIF($A$2:A206,A206)&gt;1,"Duplicate","Unique")</f>
        <v>Unique</v>
      </c>
      <c r="R206" t="str">
        <f t="shared" si="18"/>
        <v>Valid</v>
      </c>
      <c r="S206" t="str">
        <f t="shared" si="19"/>
        <v>Valid</v>
      </c>
      <c r="T206" t="str">
        <f t="shared" si="20"/>
        <v>Valid</v>
      </c>
      <c r="U206" t="str">
        <f t="shared" si="21"/>
        <v>Valid</v>
      </c>
      <c r="V206" t="str">
        <f t="shared" si="22"/>
        <v>Valid</v>
      </c>
      <c r="W206" t="str">
        <f t="shared" si="23"/>
        <v>Outlier</v>
      </c>
    </row>
    <row r="207" spans="1:23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  <c r="Q207" t="str">
        <f>IF(COUNTIF($A$2:A207,A207)&gt;1,"Duplicate","Unique")</f>
        <v>Unique</v>
      </c>
      <c r="R207" t="str">
        <f t="shared" si="18"/>
        <v>Valid</v>
      </c>
      <c r="S207" t="str">
        <f t="shared" si="19"/>
        <v>Valid</v>
      </c>
      <c r="T207" t="str">
        <f t="shared" si="20"/>
        <v>Valid</v>
      </c>
      <c r="U207" t="str">
        <f t="shared" si="21"/>
        <v>Valid</v>
      </c>
      <c r="V207" t="str">
        <f t="shared" si="22"/>
        <v>Valid</v>
      </c>
      <c r="W207" t="str">
        <f t="shared" si="23"/>
        <v>Outlier</v>
      </c>
    </row>
    <row r="208" spans="1:23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  <c r="Q208" t="str">
        <f>IF(COUNTIF($A$2:A208,A208)&gt;1,"Duplicate","Unique")</f>
        <v>Unique</v>
      </c>
      <c r="R208" t="str">
        <f t="shared" si="18"/>
        <v>Valid</v>
      </c>
      <c r="S208" t="str">
        <f t="shared" si="19"/>
        <v>Valid</v>
      </c>
      <c r="T208" t="str">
        <f t="shared" si="20"/>
        <v>Valid</v>
      </c>
      <c r="U208" t="str">
        <f t="shared" si="21"/>
        <v>Valid</v>
      </c>
      <c r="V208" t="str">
        <f t="shared" si="22"/>
        <v>Valid</v>
      </c>
      <c r="W208" t="str">
        <f t="shared" si="23"/>
        <v>Outlier</v>
      </c>
    </row>
    <row r="209" spans="1:23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  <c r="Q209" t="str">
        <f>IF(COUNTIF($A$2:A209,A209)&gt;1,"Duplicate","Unique")</f>
        <v>Unique</v>
      </c>
      <c r="R209" t="str">
        <f t="shared" si="18"/>
        <v>Valid</v>
      </c>
      <c r="S209" t="str">
        <f t="shared" si="19"/>
        <v>Valid</v>
      </c>
      <c r="T209" t="str">
        <f t="shared" si="20"/>
        <v>Valid</v>
      </c>
      <c r="U209" t="str">
        <f t="shared" si="21"/>
        <v>Valid</v>
      </c>
      <c r="V209" t="str">
        <f t="shared" si="22"/>
        <v>Valid</v>
      </c>
      <c r="W209" t="str">
        <f t="shared" si="23"/>
        <v>Outlier</v>
      </c>
    </row>
    <row r="210" spans="1:23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  <c r="Q210" t="str">
        <f>IF(COUNTIF($A$2:A210,A210)&gt;1,"Duplicate","Unique")</f>
        <v>Unique</v>
      </c>
      <c r="R210" t="str">
        <f t="shared" si="18"/>
        <v>Valid</v>
      </c>
      <c r="S210" t="str">
        <f t="shared" si="19"/>
        <v>Valid</v>
      </c>
      <c r="T210" t="str">
        <f t="shared" si="20"/>
        <v>Valid</v>
      </c>
      <c r="U210" t="str">
        <f t="shared" si="21"/>
        <v>Valid</v>
      </c>
      <c r="V210" t="str">
        <f t="shared" si="22"/>
        <v>Valid</v>
      </c>
      <c r="W210" t="str">
        <f t="shared" si="23"/>
        <v>Outlier</v>
      </c>
    </row>
    <row r="211" spans="1:23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  <c r="Q211" t="str">
        <f>IF(COUNTIF($A$2:A211,A211)&gt;1,"Duplicate","Unique")</f>
        <v>Unique</v>
      </c>
      <c r="R211" t="str">
        <f t="shared" si="18"/>
        <v>Valid</v>
      </c>
      <c r="S211" t="str">
        <f t="shared" si="19"/>
        <v>Valid</v>
      </c>
      <c r="T211" t="str">
        <f t="shared" si="20"/>
        <v>Valid</v>
      </c>
      <c r="U211" t="str">
        <f t="shared" si="21"/>
        <v>Valid</v>
      </c>
      <c r="V211" t="str">
        <f t="shared" si="22"/>
        <v>Valid</v>
      </c>
      <c r="W211" t="str">
        <f t="shared" si="23"/>
        <v>Outlier</v>
      </c>
    </row>
    <row r="212" spans="1:23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  <c r="Q212" t="str">
        <f>IF(COUNTIF($A$2:A212,A212)&gt;1,"Duplicate","Unique")</f>
        <v>Unique</v>
      </c>
      <c r="R212" t="str">
        <f t="shared" si="18"/>
        <v>Valid</v>
      </c>
      <c r="S212" t="str">
        <f t="shared" si="19"/>
        <v>Valid</v>
      </c>
      <c r="T212" t="str">
        <f t="shared" si="20"/>
        <v>Valid</v>
      </c>
      <c r="U212" t="str">
        <f t="shared" si="21"/>
        <v>Valid</v>
      </c>
      <c r="V212" t="str">
        <f t="shared" si="22"/>
        <v>Valid</v>
      </c>
      <c r="W212" t="str">
        <f t="shared" si="23"/>
        <v>Outlier</v>
      </c>
    </row>
    <row r="213" spans="1:23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  <c r="Q213" t="str">
        <f>IF(COUNTIF($A$2:A213,A213)&gt;1,"Duplicate","Unique")</f>
        <v>Unique</v>
      </c>
      <c r="R213" t="str">
        <f t="shared" si="18"/>
        <v>Valid</v>
      </c>
      <c r="S213" t="str">
        <f t="shared" si="19"/>
        <v>Valid</v>
      </c>
      <c r="T213" t="str">
        <f t="shared" si="20"/>
        <v>Valid</v>
      </c>
      <c r="U213" t="str">
        <f t="shared" si="21"/>
        <v>Valid</v>
      </c>
      <c r="V213" t="str">
        <f t="shared" si="22"/>
        <v>Valid</v>
      </c>
      <c r="W213" t="str">
        <f t="shared" si="23"/>
        <v>Outlier</v>
      </c>
    </row>
    <row r="214" spans="1:23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  <c r="Q214" t="str">
        <f>IF(COUNTIF($A$2:A214,A214)&gt;1,"Duplicate","Unique")</f>
        <v>Unique</v>
      </c>
      <c r="R214" t="str">
        <f t="shared" si="18"/>
        <v>Valid</v>
      </c>
      <c r="S214" t="str">
        <f t="shared" si="19"/>
        <v>Valid</v>
      </c>
      <c r="T214" t="str">
        <f t="shared" si="20"/>
        <v>Valid</v>
      </c>
      <c r="U214" t="str">
        <f t="shared" si="21"/>
        <v>Valid</v>
      </c>
      <c r="V214" t="str">
        <f t="shared" si="22"/>
        <v>Valid</v>
      </c>
      <c r="W214" t="str">
        <f t="shared" si="23"/>
        <v>Outlier</v>
      </c>
    </row>
    <row r="215" spans="1:23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  <c r="Q215" t="str">
        <f>IF(COUNTIF($A$2:A215,A215)&gt;1,"Duplicate","Unique")</f>
        <v>Unique</v>
      </c>
      <c r="R215" t="str">
        <f t="shared" si="18"/>
        <v>Valid</v>
      </c>
      <c r="S215" t="str">
        <f t="shared" si="19"/>
        <v>Valid</v>
      </c>
      <c r="T215" t="str">
        <f t="shared" si="20"/>
        <v>Valid</v>
      </c>
      <c r="U215" t="str">
        <f t="shared" si="21"/>
        <v>Valid</v>
      </c>
      <c r="V215" t="str">
        <f t="shared" si="22"/>
        <v>Valid</v>
      </c>
      <c r="W215" t="str">
        <f t="shared" si="23"/>
        <v>Outlier</v>
      </c>
    </row>
    <row r="216" spans="1:23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  <c r="Q216" t="str">
        <f>IF(COUNTIF($A$2:A216,A216)&gt;1,"Duplicate","Unique")</f>
        <v>Unique</v>
      </c>
      <c r="R216" t="str">
        <f t="shared" si="18"/>
        <v>Valid</v>
      </c>
      <c r="S216" t="str">
        <f t="shared" si="19"/>
        <v>Valid</v>
      </c>
      <c r="T216" t="str">
        <f t="shared" si="20"/>
        <v>Valid</v>
      </c>
      <c r="U216" t="str">
        <f t="shared" si="21"/>
        <v>Valid</v>
      </c>
      <c r="V216" t="str">
        <f t="shared" si="22"/>
        <v>Valid</v>
      </c>
      <c r="W216" t="str">
        <f t="shared" si="23"/>
        <v>Outlier</v>
      </c>
    </row>
    <row r="217" spans="1:23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  <c r="Q217" t="str">
        <f>IF(COUNTIF($A$2:A217,A217)&gt;1,"Duplicate","Unique")</f>
        <v>Unique</v>
      </c>
      <c r="R217" t="str">
        <f t="shared" si="18"/>
        <v>Valid</v>
      </c>
      <c r="S217" t="str">
        <f t="shared" si="19"/>
        <v>Valid</v>
      </c>
      <c r="T217" t="str">
        <f t="shared" si="20"/>
        <v>Valid</v>
      </c>
      <c r="U217" t="str">
        <f t="shared" si="21"/>
        <v>Valid</v>
      </c>
      <c r="V217" t="str">
        <f t="shared" si="22"/>
        <v>Valid</v>
      </c>
      <c r="W217" t="str">
        <f t="shared" si="23"/>
        <v>Outlier</v>
      </c>
    </row>
    <row r="218" spans="1:23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  <c r="Q218" t="str">
        <f>IF(COUNTIF($A$2:A218,A218)&gt;1,"Duplicate","Unique")</f>
        <v>Unique</v>
      </c>
      <c r="R218" t="str">
        <f t="shared" si="18"/>
        <v>Valid</v>
      </c>
      <c r="S218" t="str">
        <f t="shared" si="19"/>
        <v>Valid</v>
      </c>
      <c r="T218" t="str">
        <f t="shared" si="20"/>
        <v>Valid</v>
      </c>
      <c r="U218" t="str">
        <f t="shared" si="21"/>
        <v>Valid</v>
      </c>
      <c r="V218" t="str">
        <f t="shared" si="22"/>
        <v>Valid</v>
      </c>
      <c r="W218" t="str">
        <f t="shared" si="23"/>
        <v>Outlier</v>
      </c>
    </row>
    <row r="219" spans="1:23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Q219" t="str">
        <f>IF(COUNTIF($A$2:A219,A219)&gt;1,"Duplicate","Unique")</f>
        <v>Unique</v>
      </c>
      <c r="R219" t="str">
        <f t="shared" si="18"/>
        <v>Valid</v>
      </c>
      <c r="S219" t="str">
        <f t="shared" si="19"/>
        <v>Valid</v>
      </c>
      <c r="T219" t="str">
        <f t="shared" si="20"/>
        <v>Valid</v>
      </c>
      <c r="U219" t="str">
        <f t="shared" si="21"/>
        <v>Valid</v>
      </c>
      <c r="V219" t="str">
        <f t="shared" si="22"/>
        <v>Valid</v>
      </c>
      <c r="W219" t="str">
        <f t="shared" si="23"/>
        <v>Outlier</v>
      </c>
    </row>
    <row r="220" spans="1:23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  <c r="Q220" t="str">
        <f>IF(COUNTIF($A$2:A220,A220)&gt;1,"Duplicate","Unique")</f>
        <v>Unique</v>
      </c>
      <c r="R220" t="str">
        <f t="shared" si="18"/>
        <v>Valid</v>
      </c>
      <c r="S220" t="str">
        <f t="shared" si="19"/>
        <v>Valid</v>
      </c>
      <c r="T220" t="str">
        <f t="shared" si="20"/>
        <v>Valid</v>
      </c>
      <c r="U220" t="str">
        <f t="shared" si="21"/>
        <v>Valid</v>
      </c>
      <c r="V220" t="str">
        <f t="shared" si="22"/>
        <v>Valid</v>
      </c>
      <c r="W220" t="str">
        <f t="shared" si="23"/>
        <v>Outlier</v>
      </c>
    </row>
    <row r="221" spans="1:23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  <c r="Q221" t="str">
        <f>IF(COUNTIF($A$2:A221,A221)&gt;1,"Duplicate","Unique")</f>
        <v>Unique</v>
      </c>
      <c r="R221" t="str">
        <f t="shared" si="18"/>
        <v>Valid</v>
      </c>
      <c r="S221" t="str">
        <f t="shared" si="19"/>
        <v>Valid</v>
      </c>
      <c r="T221" t="str">
        <f t="shared" si="20"/>
        <v>Valid</v>
      </c>
      <c r="U221" t="str">
        <f t="shared" si="21"/>
        <v>Valid</v>
      </c>
      <c r="V221" t="str">
        <f t="shared" si="22"/>
        <v>Valid</v>
      </c>
      <c r="W221" t="str">
        <f t="shared" si="23"/>
        <v>Outlier</v>
      </c>
    </row>
    <row r="222" spans="1:23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  <c r="Q222" t="str">
        <f>IF(COUNTIF($A$2:A222,A222)&gt;1,"Duplicate","Unique")</f>
        <v>Unique</v>
      </c>
      <c r="R222" t="str">
        <f t="shared" si="18"/>
        <v>Valid</v>
      </c>
      <c r="S222" t="str">
        <f t="shared" si="19"/>
        <v>Valid</v>
      </c>
      <c r="T222" t="str">
        <f t="shared" si="20"/>
        <v>Valid</v>
      </c>
      <c r="U222" t="str">
        <f t="shared" si="21"/>
        <v>Valid</v>
      </c>
      <c r="V222" t="str">
        <f t="shared" si="22"/>
        <v>Valid</v>
      </c>
      <c r="W222" t="str">
        <f t="shared" si="23"/>
        <v>Outlier</v>
      </c>
    </row>
    <row r="223" spans="1:23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  <c r="Q223" t="str">
        <f>IF(COUNTIF($A$2:A223,A223)&gt;1,"Duplicate","Unique")</f>
        <v>Unique</v>
      </c>
      <c r="R223" t="str">
        <f t="shared" si="18"/>
        <v>Valid</v>
      </c>
      <c r="S223" t="str">
        <f t="shared" si="19"/>
        <v>Valid</v>
      </c>
      <c r="T223" t="str">
        <f t="shared" si="20"/>
        <v>Valid</v>
      </c>
      <c r="U223" t="str">
        <f t="shared" si="21"/>
        <v>Valid</v>
      </c>
      <c r="V223" t="str">
        <f t="shared" si="22"/>
        <v>Valid</v>
      </c>
      <c r="W223" t="str">
        <f t="shared" si="23"/>
        <v>Outlier</v>
      </c>
    </row>
    <row r="224" spans="1:23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  <c r="Q224" t="str">
        <f>IF(COUNTIF($A$2:A224,A224)&gt;1,"Duplicate","Unique")</f>
        <v>Unique</v>
      </c>
      <c r="R224" t="str">
        <f t="shared" si="18"/>
        <v>Valid</v>
      </c>
      <c r="S224" t="str">
        <f t="shared" si="19"/>
        <v>Valid</v>
      </c>
      <c r="T224" t="str">
        <f t="shared" si="20"/>
        <v>Valid</v>
      </c>
      <c r="U224" t="str">
        <f t="shared" si="21"/>
        <v>Valid</v>
      </c>
      <c r="V224" t="str">
        <f t="shared" si="22"/>
        <v>Valid</v>
      </c>
      <c r="W224" t="str">
        <f t="shared" si="23"/>
        <v>Outlier</v>
      </c>
    </row>
    <row r="225" spans="1:23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  <c r="Q225" t="str">
        <f>IF(COUNTIF($A$2:A225,A225)&gt;1,"Duplicate","Unique")</f>
        <v>Unique</v>
      </c>
      <c r="R225" t="str">
        <f t="shared" si="18"/>
        <v>Valid</v>
      </c>
      <c r="S225" t="str">
        <f t="shared" si="19"/>
        <v>Valid</v>
      </c>
      <c r="T225" t="str">
        <f t="shared" si="20"/>
        <v>Valid</v>
      </c>
      <c r="U225" t="str">
        <f t="shared" si="21"/>
        <v>Valid</v>
      </c>
      <c r="V225" t="str">
        <f t="shared" si="22"/>
        <v>Valid</v>
      </c>
      <c r="W225" t="str">
        <f t="shared" si="23"/>
        <v>Outlier</v>
      </c>
    </row>
    <row r="226" spans="1:23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  <c r="Q226" t="str">
        <f>IF(COUNTIF($A$2:A226,A226)&gt;1,"Duplicate","Unique")</f>
        <v>Unique</v>
      </c>
      <c r="R226" t="str">
        <f t="shared" si="18"/>
        <v>Valid</v>
      </c>
      <c r="S226" t="str">
        <f t="shared" si="19"/>
        <v>Valid</v>
      </c>
      <c r="T226" t="str">
        <f t="shared" si="20"/>
        <v>Valid</v>
      </c>
      <c r="U226" t="str">
        <f t="shared" si="21"/>
        <v>Valid</v>
      </c>
      <c r="V226" t="str">
        <f t="shared" si="22"/>
        <v>Valid</v>
      </c>
      <c r="W226" t="str">
        <f t="shared" si="23"/>
        <v>Outlier</v>
      </c>
    </row>
    <row r="227" spans="1:23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  <c r="Q227" t="str">
        <f>IF(COUNTIF($A$2:A227,A227)&gt;1,"Duplicate","Unique")</f>
        <v>Unique</v>
      </c>
      <c r="R227" t="str">
        <f t="shared" si="18"/>
        <v>Valid</v>
      </c>
      <c r="S227" t="str">
        <f t="shared" si="19"/>
        <v>Valid</v>
      </c>
      <c r="T227" t="str">
        <f t="shared" si="20"/>
        <v>Valid</v>
      </c>
      <c r="U227" t="str">
        <f t="shared" si="21"/>
        <v>Valid</v>
      </c>
      <c r="V227" t="str">
        <f t="shared" si="22"/>
        <v>Valid</v>
      </c>
      <c r="W227" t="str">
        <f t="shared" si="23"/>
        <v>Outlier</v>
      </c>
    </row>
    <row r="228" spans="1:23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  <c r="Q228" t="str">
        <f>IF(COUNTIF($A$2:A228,A228)&gt;1,"Duplicate","Unique")</f>
        <v>Unique</v>
      </c>
      <c r="R228" t="str">
        <f t="shared" si="18"/>
        <v>Valid</v>
      </c>
      <c r="S228" t="str">
        <f t="shared" si="19"/>
        <v>Valid</v>
      </c>
      <c r="T228" t="str">
        <f t="shared" si="20"/>
        <v>Valid</v>
      </c>
      <c r="U228" t="str">
        <f t="shared" si="21"/>
        <v>Valid</v>
      </c>
      <c r="V228" t="str">
        <f t="shared" si="22"/>
        <v>Valid</v>
      </c>
      <c r="W228" t="str">
        <f t="shared" si="23"/>
        <v>Outlier</v>
      </c>
    </row>
    <row r="229" spans="1:23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  <c r="Q229" t="str">
        <f>IF(COUNTIF($A$2:A229,A229)&gt;1,"Duplicate","Unique")</f>
        <v>Unique</v>
      </c>
      <c r="R229" t="str">
        <f t="shared" si="18"/>
        <v>Valid</v>
      </c>
      <c r="S229" t="str">
        <f t="shared" si="19"/>
        <v>Valid</v>
      </c>
      <c r="T229" t="str">
        <f t="shared" si="20"/>
        <v>Valid</v>
      </c>
      <c r="U229" t="str">
        <f t="shared" si="21"/>
        <v>Valid</v>
      </c>
      <c r="V229" t="str">
        <f t="shared" si="22"/>
        <v>Valid</v>
      </c>
      <c r="W229" t="str">
        <f t="shared" si="23"/>
        <v>Outlier</v>
      </c>
    </row>
    <row r="230" spans="1:23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  <c r="Q230" t="str">
        <f>IF(COUNTIF($A$2:A230,A230)&gt;1,"Duplicate","Unique")</f>
        <v>Unique</v>
      </c>
      <c r="R230" t="str">
        <f t="shared" si="18"/>
        <v>Valid</v>
      </c>
      <c r="S230" t="str">
        <f t="shared" si="19"/>
        <v>Valid</v>
      </c>
      <c r="T230" t="str">
        <f t="shared" si="20"/>
        <v>Valid</v>
      </c>
      <c r="U230" t="str">
        <f t="shared" si="21"/>
        <v>Valid</v>
      </c>
      <c r="V230" t="str">
        <f t="shared" si="22"/>
        <v>Valid</v>
      </c>
      <c r="W230" t="str">
        <f t="shared" si="23"/>
        <v>Outlier</v>
      </c>
    </row>
    <row r="231" spans="1:23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  <c r="Q231" t="str">
        <f>IF(COUNTIF($A$2:A231,A231)&gt;1,"Duplicate","Unique")</f>
        <v>Unique</v>
      </c>
      <c r="R231" t="str">
        <f t="shared" si="18"/>
        <v>Valid</v>
      </c>
      <c r="S231" t="str">
        <f t="shared" si="19"/>
        <v>Valid</v>
      </c>
      <c r="T231" t="str">
        <f t="shared" si="20"/>
        <v>Valid</v>
      </c>
      <c r="U231" t="str">
        <f t="shared" si="21"/>
        <v>Valid</v>
      </c>
      <c r="V231" t="str">
        <f t="shared" si="22"/>
        <v>Valid</v>
      </c>
      <c r="W231" t="str">
        <f t="shared" si="23"/>
        <v>Outlier</v>
      </c>
    </row>
    <row r="232" spans="1:23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  <c r="Q232" t="str">
        <f>IF(COUNTIF($A$2:A232,A232)&gt;1,"Duplicate","Unique")</f>
        <v>Unique</v>
      </c>
      <c r="R232" t="str">
        <f t="shared" si="18"/>
        <v>Valid</v>
      </c>
      <c r="S232" t="str">
        <f t="shared" si="19"/>
        <v>Valid</v>
      </c>
      <c r="T232" t="str">
        <f t="shared" si="20"/>
        <v>Valid</v>
      </c>
      <c r="U232" t="str">
        <f t="shared" si="21"/>
        <v>Valid</v>
      </c>
      <c r="V232" t="str">
        <f t="shared" si="22"/>
        <v>Valid</v>
      </c>
      <c r="W232" t="str">
        <f t="shared" si="23"/>
        <v>Outlier</v>
      </c>
    </row>
    <row r="233" spans="1:23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  <c r="Q233" t="str">
        <f>IF(COUNTIF($A$2:A233,A233)&gt;1,"Duplicate","Unique")</f>
        <v>Unique</v>
      </c>
      <c r="R233" t="str">
        <f t="shared" si="18"/>
        <v>Valid</v>
      </c>
      <c r="S233" t="str">
        <f t="shared" si="19"/>
        <v>Valid</v>
      </c>
      <c r="T233" t="str">
        <f t="shared" si="20"/>
        <v>Valid</v>
      </c>
      <c r="U233" t="str">
        <f t="shared" si="21"/>
        <v>Valid</v>
      </c>
      <c r="V233" t="str">
        <f t="shared" si="22"/>
        <v>Valid</v>
      </c>
      <c r="W233" t="str">
        <f t="shared" si="23"/>
        <v>Outlier</v>
      </c>
    </row>
    <row r="234" spans="1:23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  <c r="Q234" t="str">
        <f>IF(COUNTIF($A$2:A234,A234)&gt;1,"Duplicate","Unique")</f>
        <v>Unique</v>
      </c>
      <c r="R234" t="str">
        <f t="shared" si="18"/>
        <v>Valid</v>
      </c>
      <c r="S234" t="str">
        <f t="shared" si="19"/>
        <v>Valid</v>
      </c>
      <c r="T234" t="str">
        <f t="shared" si="20"/>
        <v>Valid</v>
      </c>
      <c r="U234" t="str">
        <f t="shared" si="21"/>
        <v>Valid</v>
      </c>
      <c r="V234" t="str">
        <f t="shared" si="22"/>
        <v>Valid</v>
      </c>
      <c r="W234" t="str">
        <f t="shared" si="23"/>
        <v>Outlier</v>
      </c>
    </row>
    <row r="235" spans="1:23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  <c r="Q235" t="str">
        <f>IF(COUNTIF($A$2:A235,A235)&gt;1,"Duplicate","Unique")</f>
        <v>Unique</v>
      </c>
      <c r="R235" t="str">
        <f t="shared" si="18"/>
        <v>Valid</v>
      </c>
      <c r="S235" t="str">
        <f t="shared" si="19"/>
        <v>Valid</v>
      </c>
      <c r="T235" t="str">
        <f t="shared" si="20"/>
        <v>Valid</v>
      </c>
      <c r="U235" t="str">
        <f t="shared" si="21"/>
        <v>Valid</v>
      </c>
      <c r="V235" t="str">
        <f t="shared" si="22"/>
        <v>Valid</v>
      </c>
      <c r="W235" t="str">
        <f t="shared" si="23"/>
        <v>Outlier</v>
      </c>
    </row>
    <row r="236" spans="1:23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  <c r="Q236" t="str">
        <f>IF(COUNTIF($A$2:A236,A236)&gt;1,"Duplicate","Unique")</f>
        <v>Unique</v>
      </c>
      <c r="R236" t="str">
        <f t="shared" si="18"/>
        <v>Valid</v>
      </c>
      <c r="S236" t="str">
        <f t="shared" si="19"/>
        <v>Valid</v>
      </c>
      <c r="T236" t="str">
        <f t="shared" si="20"/>
        <v>Valid</v>
      </c>
      <c r="U236" t="str">
        <f t="shared" si="21"/>
        <v>Valid</v>
      </c>
      <c r="V236" t="str">
        <f t="shared" si="22"/>
        <v>Valid</v>
      </c>
      <c r="W236" t="str">
        <f t="shared" si="23"/>
        <v>Outlier</v>
      </c>
    </row>
    <row r="237" spans="1:23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  <c r="Q237" t="str">
        <f>IF(COUNTIF($A$2:A237,A237)&gt;1,"Duplicate","Unique")</f>
        <v>Unique</v>
      </c>
      <c r="R237" t="str">
        <f t="shared" si="18"/>
        <v>Valid</v>
      </c>
      <c r="S237" t="str">
        <f t="shared" si="19"/>
        <v>Valid</v>
      </c>
      <c r="T237" t="str">
        <f t="shared" si="20"/>
        <v>Valid</v>
      </c>
      <c r="U237" t="str">
        <f t="shared" si="21"/>
        <v>Valid</v>
      </c>
      <c r="V237" t="str">
        <f t="shared" si="22"/>
        <v>Valid</v>
      </c>
      <c r="W237" t="str">
        <f t="shared" si="23"/>
        <v>Outlier</v>
      </c>
    </row>
    <row r="238" spans="1:23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  <c r="Q238" t="str">
        <f>IF(COUNTIF($A$2:A238,A238)&gt;1,"Duplicate","Unique")</f>
        <v>Unique</v>
      </c>
      <c r="R238" t="str">
        <f t="shared" si="18"/>
        <v>Valid</v>
      </c>
      <c r="S238" t="str">
        <f t="shared" si="19"/>
        <v>Valid</v>
      </c>
      <c r="T238" t="str">
        <f t="shared" si="20"/>
        <v>Valid</v>
      </c>
      <c r="U238" t="str">
        <f t="shared" si="21"/>
        <v>Valid</v>
      </c>
      <c r="V238" t="str">
        <f t="shared" si="22"/>
        <v>Valid</v>
      </c>
      <c r="W238" t="str">
        <f t="shared" si="23"/>
        <v>Outlier</v>
      </c>
    </row>
    <row r="239" spans="1:23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  <c r="Q239" t="str">
        <f>IF(COUNTIF($A$2:A239,A239)&gt;1,"Duplicate","Unique")</f>
        <v>Unique</v>
      </c>
      <c r="R239" t="str">
        <f t="shared" si="18"/>
        <v>Valid</v>
      </c>
      <c r="S239" t="str">
        <f t="shared" si="19"/>
        <v>Valid</v>
      </c>
      <c r="T239" t="str">
        <f t="shared" si="20"/>
        <v>Valid</v>
      </c>
      <c r="U239" t="str">
        <f t="shared" si="21"/>
        <v>Valid</v>
      </c>
      <c r="V239" t="str">
        <f t="shared" si="22"/>
        <v>Valid</v>
      </c>
      <c r="W239" t="str">
        <f t="shared" si="23"/>
        <v>Outlier</v>
      </c>
    </row>
    <row r="240" spans="1:23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  <c r="Q240" t="str">
        <f>IF(COUNTIF($A$2:A240,A240)&gt;1,"Duplicate","Unique")</f>
        <v>Unique</v>
      </c>
      <c r="R240" t="str">
        <f t="shared" si="18"/>
        <v>Valid</v>
      </c>
      <c r="S240" t="str">
        <f t="shared" si="19"/>
        <v>Valid</v>
      </c>
      <c r="T240" t="str">
        <f t="shared" si="20"/>
        <v>Valid</v>
      </c>
      <c r="U240" t="str">
        <f t="shared" si="21"/>
        <v>Valid</v>
      </c>
      <c r="V240" t="str">
        <f t="shared" si="22"/>
        <v>Valid</v>
      </c>
      <c r="W240" t="str">
        <f t="shared" si="23"/>
        <v>Outlier</v>
      </c>
    </row>
    <row r="241" spans="1:23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  <c r="Q241" t="str">
        <f>IF(COUNTIF($A$2:A241,A241)&gt;1,"Duplicate","Unique")</f>
        <v>Unique</v>
      </c>
      <c r="R241" t="str">
        <f t="shared" si="18"/>
        <v>Valid</v>
      </c>
      <c r="S241" t="str">
        <f t="shared" si="19"/>
        <v>Valid</v>
      </c>
      <c r="T241" t="str">
        <f t="shared" si="20"/>
        <v>Valid</v>
      </c>
      <c r="U241" t="str">
        <f t="shared" si="21"/>
        <v>Valid</v>
      </c>
      <c r="V241" t="str">
        <f t="shared" si="22"/>
        <v>Valid</v>
      </c>
      <c r="W241" t="str">
        <f t="shared" si="23"/>
        <v>Outlier</v>
      </c>
    </row>
    <row r="242" spans="1:23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  <c r="Q242" t="str">
        <f>IF(COUNTIF($A$2:A242,A242)&gt;1,"Duplicate","Unique")</f>
        <v>Unique</v>
      </c>
      <c r="R242" t="str">
        <f t="shared" si="18"/>
        <v>Valid</v>
      </c>
      <c r="S242" t="str">
        <f t="shared" si="19"/>
        <v>Valid</v>
      </c>
      <c r="T242" t="str">
        <f t="shared" si="20"/>
        <v>Valid</v>
      </c>
      <c r="U242" t="str">
        <f t="shared" si="21"/>
        <v>Valid</v>
      </c>
      <c r="V242" t="str">
        <f t="shared" si="22"/>
        <v>Valid</v>
      </c>
      <c r="W242" t="str">
        <f t="shared" si="23"/>
        <v>Outlier</v>
      </c>
    </row>
    <row r="243" spans="1:23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  <c r="Q243" t="str">
        <f>IF(COUNTIF($A$2:A243,A243)&gt;1,"Duplicate","Unique")</f>
        <v>Unique</v>
      </c>
      <c r="R243" t="str">
        <f t="shared" si="18"/>
        <v>Valid</v>
      </c>
      <c r="S243" t="str">
        <f t="shared" si="19"/>
        <v>Valid</v>
      </c>
      <c r="T243" t="str">
        <f t="shared" si="20"/>
        <v>Valid</v>
      </c>
      <c r="U243" t="str">
        <f t="shared" si="21"/>
        <v>Valid</v>
      </c>
      <c r="V243" t="str">
        <f t="shared" si="22"/>
        <v>Valid</v>
      </c>
      <c r="W243" t="str">
        <f t="shared" si="23"/>
        <v>Outlier</v>
      </c>
    </row>
    <row r="244" spans="1:23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  <c r="Q244" t="str">
        <f>IF(COUNTIF($A$2:A244,A244)&gt;1,"Duplicate","Unique")</f>
        <v>Unique</v>
      </c>
      <c r="R244" t="str">
        <f t="shared" si="18"/>
        <v>Valid</v>
      </c>
      <c r="S244" t="str">
        <f t="shared" si="19"/>
        <v>Valid</v>
      </c>
      <c r="T244" t="str">
        <f t="shared" si="20"/>
        <v>Valid</v>
      </c>
      <c r="U244" t="str">
        <f t="shared" si="21"/>
        <v>Valid</v>
      </c>
      <c r="V244" t="str">
        <f t="shared" si="22"/>
        <v>Valid</v>
      </c>
      <c r="W244" t="str">
        <f t="shared" si="23"/>
        <v>Outlier</v>
      </c>
    </row>
    <row r="245" spans="1:23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  <c r="Q245" t="str">
        <f>IF(COUNTIF($A$2:A245,A245)&gt;1,"Duplicate","Unique")</f>
        <v>Unique</v>
      </c>
      <c r="R245" t="str">
        <f t="shared" si="18"/>
        <v>Valid</v>
      </c>
      <c r="S245" t="str">
        <f t="shared" si="19"/>
        <v>Valid</v>
      </c>
      <c r="T245" t="str">
        <f t="shared" si="20"/>
        <v>Valid</v>
      </c>
      <c r="U245" t="str">
        <f t="shared" si="21"/>
        <v>Valid</v>
      </c>
      <c r="V245" t="str">
        <f t="shared" si="22"/>
        <v>Valid</v>
      </c>
      <c r="W245" t="str">
        <f t="shared" si="23"/>
        <v>Outlier</v>
      </c>
    </row>
    <row r="246" spans="1:23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  <c r="Q246" t="str">
        <f>IF(COUNTIF($A$2:A246,A246)&gt;1,"Duplicate","Unique")</f>
        <v>Unique</v>
      </c>
      <c r="R246" t="str">
        <f t="shared" si="18"/>
        <v>Valid</v>
      </c>
      <c r="S246" t="str">
        <f t="shared" si="19"/>
        <v>Valid</v>
      </c>
      <c r="T246" t="str">
        <f t="shared" si="20"/>
        <v>Valid</v>
      </c>
      <c r="U246" t="str">
        <f t="shared" si="21"/>
        <v>Valid</v>
      </c>
      <c r="V246" t="str">
        <f t="shared" si="22"/>
        <v>Valid</v>
      </c>
      <c r="W246" t="str">
        <f t="shared" si="23"/>
        <v>Outlier</v>
      </c>
    </row>
    <row r="247" spans="1:23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  <c r="Q247" t="str">
        <f>IF(COUNTIF($A$2:A247,A247)&gt;1,"Duplicate","Unique")</f>
        <v>Unique</v>
      </c>
      <c r="R247" t="str">
        <f t="shared" si="18"/>
        <v>Valid</v>
      </c>
      <c r="S247" t="str">
        <f t="shared" si="19"/>
        <v>Valid</v>
      </c>
      <c r="T247" t="str">
        <f t="shared" si="20"/>
        <v>Valid</v>
      </c>
      <c r="U247" t="str">
        <f t="shared" si="21"/>
        <v>Valid</v>
      </c>
      <c r="V247" t="str">
        <f t="shared" si="22"/>
        <v>Valid</v>
      </c>
      <c r="W247" t="str">
        <f t="shared" si="23"/>
        <v>Outlier</v>
      </c>
    </row>
    <row r="248" spans="1:23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  <c r="Q248" t="str">
        <f>IF(COUNTIF($A$2:A248,A248)&gt;1,"Duplicate","Unique")</f>
        <v>Unique</v>
      </c>
      <c r="R248" t="str">
        <f t="shared" si="18"/>
        <v>Valid</v>
      </c>
      <c r="S248" t="str">
        <f t="shared" si="19"/>
        <v>Valid</v>
      </c>
      <c r="T248" t="str">
        <f t="shared" si="20"/>
        <v>Valid</v>
      </c>
      <c r="U248" t="str">
        <f t="shared" si="21"/>
        <v>Valid</v>
      </c>
      <c r="V248" t="str">
        <f t="shared" si="22"/>
        <v>Valid</v>
      </c>
      <c r="W248" t="str">
        <f t="shared" si="23"/>
        <v>Outlier</v>
      </c>
    </row>
    <row r="249" spans="1:23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  <c r="Q249" t="str">
        <f>IF(COUNTIF($A$2:A249,A249)&gt;1,"Duplicate","Unique")</f>
        <v>Unique</v>
      </c>
      <c r="R249" t="str">
        <f t="shared" si="18"/>
        <v>Valid</v>
      </c>
      <c r="S249" t="str">
        <f t="shared" si="19"/>
        <v>Valid</v>
      </c>
      <c r="T249" t="str">
        <f t="shared" si="20"/>
        <v>Valid</v>
      </c>
      <c r="U249" t="str">
        <f t="shared" si="21"/>
        <v>Valid</v>
      </c>
      <c r="V249" t="str">
        <f t="shared" si="22"/>
        <v>Valid</v>
      </c>
      <c r="W249" t="str">
        <f t="shared" si="23"/>
        <v>Outlier</v>
      </c>
    </row>
    <row r="250" spans="1:23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  <c r="Q250" t="str">
        <f>IF(COUNTIF($A$2:A250,A250)&gt;1,"Duplicate","Unique")</f>
        <v>Unique</v>
      </c>
      <c r="R250" t="str">
        <f t="shared" si="18"/>
        <v>Valid</v>
      </c>
      <c r="S250" t="str">
        <f t="shared" si="19"/>
        <v>Valid</v>
      </c>
      <c r="T250" t="str">
        <f t="shared" si="20"/>
        <v>Valid</v>
      </c>
      <c r="U250" t="str">
        <f t="shared" si="21"/>
        <v>Valid</v>
      </c>
      <c r="V250" t="str">
        <f t="shared" si="22"/>
        <v>Valid</v>
      </c>
      <c r="W250" t="str">
        <f t="shared" si="23"/>
        <v>Outlier</v>
      </c>
    </row>
    <row r="251" spans="1:23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  <c r="Q251" t="str">
        <f>IF(COUNTIF($A$2:A251,A251)&gt;1,"Duplicate","Unique")</f>
        <v>Unique</v>
      </c>
      <c r="R251" t="str">
        <f t="shared" si="18"/>
        <v>Valid</v>
      </c>
      <c r="S251" t="str">
        <f t="shared" si="19"/>
        <v>Valid</v>
      </c>
      <c r="T251" t="str">
        <f t="shared" si="20"/>
        <v>Valid</v>
      </c>
      <c r="U251" t="str">
        <f t="shared" si="21"/>
        <v>Valid</v>
      </c>
      <c r="V251" t="str">
        <f t="shared" si="22"/>
        <v>Valid</v>
      </c>
      <c r="W251" t="str">
        <f t="shared" si="23"/>
        <v>Outlier</v>
      </c>
    </row>
    <row r="252" spans="1:23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  <c r="Q252" t="str">
        <f>IF(COUNTIF($A$2:A252,A252)&gt;1,"Duplicate","Unique")</f>
        <v>Unique</v>
      </c>
      <c r="R252" t="str">
        <f t="shared" si="18"/>
        <v>Valid</v>
      </c>
      <c r="S252" t="str">
        <f t="shared" si="19"/>
        <v>Valid</v>
      </c>
      <c r="T252" t="str">
        <f t="shared" si="20"/>
        <v>Valid</v>
      </c>
      <c r="U252" t="str">
        <f t="shared" si="21"/>
        <v>Valid</v>
      </c>
      <c r="V252" t="str">
        <f t="shared" si="22"/>
        <v>Valid</v>
      </c>
      <c r="W252" t="str">
        <f t="shared" si="23"/>
        <v>Outlier</v>
      </c>
    </row>
    <row r="253" spans="1:23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  <c r="Q253" t="str">
        <f>IF(COUNTIF($A$2:A253,A253)&gt;1,"Duplicate","Unique")</f>
        <v>Unique</v>
      </c>
      <c r="R253" t="str">
        <f t="shared" si="18"/>
        <v>Valid</v>
      </c>
      <c r="S253" t="str">
        <f t="shared" si="19"/>
        <v>Valid</v>
      </c>
      <c r="T253" t="str">
        <f t="shared" si="20"/>
        <v>Valid</v>
      </c>
      <c r="U253" t="str">
        <f t="shared" si="21"/>
        <v>Valid</v>
      </c>
      <c r="V253" t="str">
        <f t="shared" si="22"/>
        <v>Valid</v>
      </c>
      <c r="W253" t="str">
        <f t="shared" si="23"/>
        <v>Outlier</v>
      </c>
    </row>
    <row r="254" spans="1:23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  <c r="Q254" t="str">
        <f>IF(COUNTIF($A$2:A254,A254)&gt;1,"Duplicate","Unique")</f>
        <v>Unique</v>
      </c>
      <c r="R254" t="str">
        <f t="shared" si="18"/>
        <v>Valid</v>
      </c>
      <c r="S254" t="str">
        <f t="shared" si="19"/>
        <v>Valid</v>
      </c>
      <c r="T254" t="str">
        <f t="shared" si="20"/>
        <v>Valid</v>
      </c>
      <c r="U254" t="str">
        <f t="shared" si="21"/>
        <v>Valid</v>
      </c>
      <c r="V254" t="str">
        <f t="shared" si="22"/>
        <v>Valid</v>
      </c>
      <c r="W254" t="str">
        <f t="shared" si="23"/>
        <v>Outlier</v>
      </c>
    </row>
    <row r="255" spans="1:23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  <c r="Q255" t="str">
        <f>IF(COUNTIF($A$2:A255,A255)&gt;1,"Duplicate","Unique")</f>
        <v>Unique</v>
      </c>
      <c r="R255" t="str">
        <f t="shared" si="18"/>
        <v>Valid</v>
      </c>
      <c r="S255" t="str">
        <f t="shared" si="19"/>
        <v>Valid</v>
      </c>
      <c r="T255" t="str">
        <f t="shared" si="20"/>
        <v>Valid</v>
      </c>
      <c r="U255" t="str">
        <f t="shared" si="21"/>
        <v>Valid</v>
      </c>
      <c r="V255" t="str">
        <f t="shared" si="22"/>
        <v>Valid</v>
      </c>
      <c r="W255" t="str">
        <f t="shared" si="23"/>
        <v>Outlier</v>
      </c>
    </row>
    <row r="256" spans="1:23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  <c r="Q256" t="str">
        <f>IF(COUNTIF($A$2:A256,A256)&gt;1,"Duplicate","Unique")</f>
        <v>Unique</v>
      </c>
      <c r="R256" t="str">
        <f t="shared" si="18"/>
        <v>Valid</v>
      </c>
      <c r="S256" t="str">
        <f t="shared" si="19"/>
        <v>Valid</v>
      </c>
      <c r="T256" t="str">
        <f t="shared" si="20"/>
        <v>Valid</v>
      </c>
      <c r="U256" t="str">
        <f t="shared" si="21"/>
        <v>Valid</v>
      </c>
      <c r="V256" t="str">
        <f t="shared" si="22"/>
        <v>Valid</v>
      </c>
      <c r="W256" t="str">
        <f t="shared" si="23"/>
        <v>Outlier</v>
      </c>
    </row>
    <row r="257" spans="1:23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  <c r="Q257" t="str">
        <f>IF(COUNTIF($A$2:A257,A257)&gt;1,"Duplicate","Unique")</f>
        <v>Unique</v>
      </c>
      <c r="R257" t="str">
        <f t="shared" si="18"/>
        <v>Valid</v>
      </c>
      <c r="S257" t="str">
        <f t="shared" si="19"/>
        <v>Valid</v>
      </c>
      <c r="T257" t="str">
        <f t="shared" si="20"/>
        <v>Valid</v>
      </c>
      <c r="U257" t="str">
        <f t="shared" si="21"/>
        <v>Valid</v>
      </c>
      <c r="V257" t="str">
        <f t="shared" si="22"/>
        <v>Valid</v>
      </c>
      <c r="W257" t="str">
        <f t="shared" si="23"/>
        <v>Outlier</v>
      </c>
    </row>
    <row r="258" spans="1:23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  <c r="Q258" t="str">
        <f>IF(COUNTIF($A$2:A258,A258)&gt;1,"Duplicate","Unique")</f>
        <v>Unique</v>
      </c>
      <c r="R258" t="str">
        <f t="shared" si="18"/>
        <v>Valid</v>
      </c>
      <c r="S258" t="str">
        <f t="shared" si="19"/>
        <v>Valid</v>
      </c>
      <c r="T258" t="str">
        <f t="shared" si="20"/>
        <v>Valid</v>
      </c>
      <c r="U258" t="str">
        <f t="shared" si="21"/>
        <v>Valid</v>
      </c>
      <c r="V258" t="str">
        <f t="shared" si="22"/>
        <v>Valid</v>
      </c>
      <c r="W258" t="str">
        <f t="shared" si="23"/>
        <v>Outlier</v>
      </c>
    </row>
    <row r="259" spans="1:23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  <c r="Q259" t="str">
        <f>IF(COUNTIF($A$2:A259,A259)&gt;1,"Duplicate","Unique")</f>
        <v>Unique</v>
      </c>
      <c r="R259" t="str">
        <f t="shared" ref="R259:R322" si="24">IF(OR(H259=0,H259=1),"Valid","Invalid")</f>
        <v>Valid</v>
      </c>
      <c r="S259" t="str">
        <f t="shared" ref="S259:S322" si="25">IF(OR(I259=0,I259=1),"Valid","Invalid")</f>
        <v>Valid</v>
      </c>
      <c r="T259" t="str">
        <f t="shared" ref="T259:T322" si="26">IF(OR(J259=0,J259=1),"Valid","Invalid")</f>
        <v>Valid</v>
      </c>
      <c r="U259" t="str">
        <f t="shared" ref="U259:U322" si="27">IF(OR(K259=0,K259=1),"Valid","Invalid")</f>
        <v>Valid</v>
      </c>
      <c r="V259" t="str">
        <f t="shared" ref="V259:V322" si="28">IF(OR(N259=0,N259=1),"Valid","Invalid")</f>
        <v>Valid</v>
      </c>
      <c r="W259" t="str">
        <f t="shared" ref="W259:W322" si="29">IF(OR(L259&lt;$B$23,L259&gt;$B$24),"Outlier","Normal")</f>
        <v>Outlier</v>
      </c>
    </row>
    <row r="260" spans="1:23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  <c r="Q260" t="str">
        <f>IF(COUNTIF($A$2:A260,A260)&gt;1,"Duplicate","Unique")</f>
        <v>Unique</v>
      </c>
      <c r="R260" t="str">
        <f t="shared" si="24"/>
        <v>Valid</v>
      </c>
      <c r="S260" t="str">
        <f t="shared" si="25"/>
        <v>Valid</v>
      </c>
      <c r="T260" t="str">
        <f t="shared" si="26"/>
        <v>Valid</v>
      </c>
      <c r="U260" t="str">
        <f t="shared" si="27"/>
        <v>Valid</v>
      </c>
      <c r="V260" t="str">
        <f t="shared" si="28"/>
        <v>Valid</v>
      </c>
      <c r="W260" t="str">
        <f t="shared" si="29"/>
        <v>Outlier</v>
      </c>
    </row>
    <row r="261" spans="1:23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  <c r="Q261" t="str">
        <f>IF(COUNTIF($A$2:A261,A261)&gt;1,"Duplicate","Unique")</f>
        <v>Unique</v>
      </c>
      <c r="R261" t="str">
        <f t="shared" si="24"/>
        <v>Valid</v>
      </c>
      <c r="S261" t="str">
        <f t="shared" si="25"/>
        <v>Valid</v>
      </c>
      <c r="T261" t="str">
        <f t="shared" si="26"/>
        <v>Valid</v>
      </c>
      <c r="U261" t="str">
        <f t="shared" si="27"/>
        <v>Valid</v>
      </c>
      <c r="V261" t="str">
        <f t="shared" si="28"/>
        <v>Valid</v>
      </c>
      <c r="W261" t="str">
        <f t="shared" si="29"/>
        <v>Outlier</v>
      </c>
    </row>
    <row r="262" spans="1:23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  <c r="Q262" t="str">
        <f>IF(COUNTIF($A$2:A262,A262)&gt;1,"Duplicate","Unique")</f>
        <v>Unique</v>
      </c>
      <c r="R262" t="str">
        <f t="shared" si="24"/>
        <v>Valid</v>
      </c>
      <c r="S262" t="str">
        <f t="shared" si="25"/>
        <v>Valid</v>
      </c>
      <c r="T262" t="str">
        <f t="shared" si="26"/>
        <v>Valid</v>
      </c>
      <c r="U262" t="str">
        <f t="shared" si="27"/>
        <v>Valid</v>
      </c>
      <c r="V262" t="str">
        <f t="shared" si="28"/>
        <v>Valid</v>
      </c>
      <c r="W262" t="str">
        <f t="shared" si="29"/>
        <v>Outlier</v>
      </c>
    </row>
    <row r="263" spans="1:23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  <c r="Q263" t="str">
        <f>IF(COUNTIF($A$2:A263,A263)&gt;1,"Duplicate","Unique")</f>
        <v>Unique</v>
      </c>
      <c r="R263" t="str">
        <f t="shared" si="24"/>
        <v>Valid</v>
      </c>
      <c r="S263" t="str">
        <f t="shared" si="25"/>
        <v>Valid</v>
      </c>
      <c r="T263" t="str">
        <f t="shared" si="26"/>
        <v>Valid</v>
      </c>
      <c r="U263" t="str">
        <f t="shared" si="27"/>
        <v>Valid</v>
      </c>
      <c r="V263" t="str">
        <f t="shared" si="28"/>
        <v>Valid</v>
      </c>
      <c r="W263" t="str">
        <f t="shared" si="29"/>
        <v>Outlier</v>
      </c>
    </row>
    <row r="264" spans="1:23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  <c r="Q264" t="str">
        <f>IF(COUNTIF($A$2:A264,A264)&gt;1,"Duplicate","Unique")</f>
        <v>Unique</v>
      </c>
      <c r="R264" t="str">
        <f t="shared" si="24"/>
        <v>Valid</v>
      </c>
      <c r="S264" t="str">
        <f t="shared" si="25"/>
        <v>Valid</v>
      </c>
      <c r="T264" t="str">
        <f t="shared" si="26"/>
        <v>Valid</v>
      </c>
      <c r="U264" t="str">
        <f t="shared" si="27"/>
        <v>Valid</v>
      </c>
      <c r="V264" t="str">
        <f t="shared" si="28"/>
        <v>Valid</v>
      </c>
      <c r="W264" t="str">
        <f t="shared" si="29"/>
        <v>Outlier</v>
      </c>
    </row>
    <row r="265" spans="1:23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  <c r="Q265" t="str">
        <f>IF(COUNTIF($A$2:A265,A265)&gt;1,"Duplicate","Unique")</f>
        <v>Unique</v>
      </c>
      <c r="R265" t="str">
        <f t="shared" si="24"/>
        <v>Valid</v>
      </c>
      <c r="S265" t="str">
        <f t="shared" si="25"/>
        <v>Valid</v>
      </c>
      <c r="T265" t="str">
        <f t="shared" si="26"/>
        <v>Valid</v>
      </c>
      <c r="U265" t="str">
        <f t="shared" si="27"/>
        <v>Valid</v>
      </c>
      <c r="V265" t="str">
        <f t="shared" si="28"/>
        <v>Valid</v>
      </c>
      <c r="W265" t="str">
        <f t="shared" si="29"/>
        <v>Outlier</v>
      </c>
    </row>
    <row r="266" spans="1:23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  <c r="Q266" t="str">
        <f>IF(COUNTIF($A$2:A266,A266)&gt;1,"Duplicate","Unique")</f>
        <v>Unique</v>
      </c>
      <c r="R266" t="str">
        <f t="shared" si="24"/>
        <v>Valid</v>
      </c>
      <c r="S266" t="str">
        <f t="shared" si="25"/>
        <v>Valid</v>
      </c>
      <c r="T266" t="str">
        <f t="shared" si="26"/>
        <v>Valid</v>
      </c>
      <c r="U266" t="str">
        <f t="shared" si="27"/>
        <v>Valid</v>
      </c>
      <c r="V266" t="str">
        <f t="shared" si="28"/>
        <v>Valid</v>
      </c>
      <c r="W266" t="str">
        <f t="shared" si="29"/>
        <v>Outlier</v>
      </c>
    </row>
    <row r="267" spans="1:23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  <c r="Q267" t="str">
        <f>IF(COUNTIF($A$2:A267,A267)&gt;1,"Duplicate","Unique")</f>
        <v>Unique</v>
      </c>
      <c r="R267" t="str">
        <f t="shared" si="24"/>
        <v>Valid</v>
      </c>
      <c r="S267" t="str">
        <f t="shared" si="25"/>
        <v>Valid</v>
      </c>
      <c r="T267" t="str">
        <f t="shared" si="26"/>
        <v>Valid</v>
      </c>
      <c r="U267" t="str">
        <f t="shared" si="27"/>
        <v>Valid</v>
      </c>
      <c r="V267" t="str">
        <f t="shared" si="28"/>
        <v>Valid</v>
      </c>
      <c r="W267" t="str">
        <f t="shared" si="29"/>
        <v>Outlier</v>
      </c>
    </row>
    <row r="268" spans="1:23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  <c r="Q268" t="str">
        <f>IF(COUNTIF($A$2:A268,A268)&gt;1,"Duplicate","Unique")</f>
        <v>Unique</v>
      </c>
      <c r="R268" t="str">
        <f t="shared" si="24"/>
        <v>Valid</v>
      </c>
      <c r="S268" t="str">
        <f t="shared" si="25"/>
        <v>Valid</v>
      </c>
      <c r="T268" t="str">
        <f t="shared" si="26"/>
        <v>Valid</v>
      </c>
      <c r="U268" t="str">
        <f t="shared" si="27"/>
        <v>Valid</v>
      </c>
      <c r="V268" t="str">
        <f t="shared" si="28"/>
        <v>Valid</v>
      </c>
      <c r="W268" t="str">
        <f t="shared" si="29"/>
        <v>Outlier</v>
      </c>
    </row>
    <row r="269" spans="1:23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  <c r="Q269" t="str">
        <f>IF(COUNTIF($A$2:A269,A269)&gt;1,"Duplicate","Unique")</f>
        <v>Unique</v>
      </c>
      <c r="R269" t="str">
        <f t="shared" si="24"/>
        <v>Valid</v>
      </c>
      <c r="S269" t="str">
        <f t="shared" si="25"/>
        <v>Valid</v>
      </c>
      <c r="T269" t="str">
        <f t="shared" si="26"/>
        <v>Valid</v>
      </c>
      <c r="U269" t="str">
        <f t="shared" si="27"/>
        <v>Valid</v>
      </c>
      <c r="V269" t="str">
        <f t="shared" si="28"/>
        <v>Valid</v>
      </c>
      <c r="W269" t="str">
        <f t="shared" si="29"/>
        <v>Outlier</v>
      </c>
    </row>
    <row r="270" spans="1:23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  <c r="Q270" t="str">
        <f>IF(COUNTIF($A$2:A270,A270)&gt;1,"Duplicate","Unique")</f>
        <v>Unique</v>
      </c>
      <c r="R270" t="str">
        <f t="shared" si="24"/>
        <v>Valid</v>
      </c>
      <c r="S270" t="str">
        <f t="shared" si="25"/>
        <v>Valid</v>
      </c>
      <c r="T270" t="str">
        <f t="shared" si="26"/>
        <v>Valid</v>
      </c>
      <c r="U270" t="str">
        <f t="shared" si="27"/>
        <v>Valid</v>
      </c>
      <c r="V270" t="str">
        <f t="shared" si="28"/>
        <v>Valid</v>
      </c>
      <c r="W270" t="str">
        <f t="shared" si="29"/>
        <v>Outlier</v>
      </c>
    </row>
    <row r="271" spans="1:23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  <c r="Q271" t="str">
        <f>IF(COUNTIF($A$2:A271,A271)&gt;1,"Duplicate","Unique")</f>
        <v>Unique</v>
      </c>
      <c r="R271" t="str">
        <f t="shared" si="24"/>
        <v>Valid</v>
      </c>
      <c r="S271" t="str">
        <f t="shared" si="25"/>
        <v>Valid</v>
      </c>
      <c r="T271" t="str">
        <f t="shared" si="26"/>
        <v>Valid</v>
      </c>
      <c r="U271" t="str">
        <f t="shared" si="27"/>
        <v>Valid</v>
      </c>
      <c r="V271" t="str">
        <f t="shared" si="28"/>
        <v>Valid</v>
      </c>
      <c r="W271" t="str">
        <f t="shared" si="29"/>
        <v>Outlier</v>
      </c>
    </row>
    <row r="272" spans="1:23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  <c r="Q272" t="str">
        <f>IF(COUNTIF($A$2:A272,A272)&gt;1,"Duplicate","Unique")</f>
        <v>Unique</v>
      </c>
      <c r="R272" t="str">
        <f t="shared" si="24"/>
        <v>Valid</v>
      </c>
      <c r="S272" t="str">
        <f t="shared" si="25"/>
        <v>Valid</v>
      </c>
      <c r="T272" t="str">
        <f t="shared" si="26"/>
        <v>Valid</v>
      </c>
      <c r="U272" t="str">
        <f t="shared" si="27"/>
        <v>Valid</v>
      </c>
      <c r="V272" t="str">
        <f t="shared" si="28"/>
        <v>Valid</v>
      </c>
      <c r="W272" t="str">
        <f t="shared" si="29"/>
        <v>Outlier</v>
      </c>
    </row>
    <row r="273" spans="1:23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  <c r="Q273" t="str">
        <f>IF(COUNTIF($A$2:A273,A273)&gt;1,"Duplicate","Unique")</f>
        <v>Unique</v>
      </c>
      <c r="R273" t="str">
        <f t="shared" si="24"/>
        <v>Valid</v>
      </c>
      <c r="S273" t="str">
        <f t="shared" si="25"/>
        <v>Valid</v>
      </c>
      <c r="T273" t="str">
        <f t="shared" si="26"/>
        <v>Valid</v>
      </c>
      <c r="U273" t="str">
        <f t="shared" si="27"/>
        <v>Valid</v>
      </c>
      <c r="V273" t="str">
        <f t="shared" si="28"/>
        <v>Valid</v>
      </c>
      <c r="W273" t="str">
        <f t="shared" si="29"/>
        <v>Outlier</v>
      </c>
    </row>
    <row r="274" spans="1:23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  <c r="Q274" t="str">
        <f>IF(COUNTIF($A$2:A274,A274)&gt;1,"Duplicate","Unique")</f>
        <v>Unique</v>
      </c>
      <c r="R274" t="str">
        <f t="shared" si="24"/>
        <v>Valid</v>
      </c>
      <c r="S274" t="str">
        <f t="shared" si="25"/>
        <v>Valid</v>
      </c>
      <c r="T274" t="str">
        <f t="shared" si="26"/>
        <v>Valid</v>
      </c>
      <c r="U274" t="str">
        <f t="shared" si="27"/>
        <v>Valid</v>
      </c>
      <c r="V274" t="str">
        <f t="shared" si="28"/>
        <v>Valid</v>
      </c>
      <c r="W274" t="str">
        <f t="shared" si="29"/>
        <v>Outlier</v>
      </c>
    </row>
    <row r="275" spans="1:23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  <c r="Q275" t="str">
        <f>IF(COUNTIF($A$2:A275,A275)&gt;1,"Duplicate","Unique")</f>
        <v>Unique</v>
      </c>
      <c r="R275" t="str">
        <f t="shared" si="24"/>
        <v>Valid</v>
      </c>
      <c r="S275" t="str">
        <f t="shared" si="25"/>
        <v>Valid</v>
      </c>
      <c r="T275" t="str">
        <f t="shared" si="26"/>
        <v>Valid</v>
      </c>
      <c r="U275" t="str">
        <f t="shared" si="27"/>
        <v>Valid</v>
      </c>
      <c r="V275" t="str">
        <f t="shared" si="28"/>
        <v>Valid</v>
      </c>
      <c r="W275" t="str">
        <f t="shared" si="29"/>
        <v>Outlier</v>
      </c>
    </row>
    <row r="276" spans="1:23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  <c r="Q276" t="str">
        <f>IF(COUNTIF($A$2:A276,A276)&gt;1,"Duplicate","Unique")</f>
        <v>Unique</v>
      </c>
      <c r="R276" t="str">
        <f t="shared" si="24"/>
        <v>Valid</v>
      </c>
      <c r="S276" t="str">
        <f t="shared" si="25"/>
        <v>Valid</v>
      </c>
      <c r="T276" t="str">
        <f t="shared" si="26"/>
        <v>Valid</v>
      </c>
      <c r="U276" t="str">
        <f t="shared" si="27"/>
        <v>Valid</v>
      </c>
      <c r="V276" t="str">
        <f t="shared" si="28"/>
        <v>Valid</v>
      </c>
      <c r="W276" t="str">
        <f t="shared" si="29"/>
        <v>Outlier</v>
      </c>
    </row>
    <row r="277" spans="1:23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  <c r="Q277" t="str">
        <f>IF(COUNTIF($A$2:A277,A277)&gt;1,"Duplicate","Unique")</f>
        <v>Unique</v>
      </c>
      <c r="R277" t="str">
        <f t="shared" si="24"/>
        <v>Valid</v>
      </c>
      <c r="S277" t="str">
        <f t="shared" si="25"/>
        <v>Valid</v>
      </c>
      <c r="T277" t="str">
        <f t="shared" si="26"/>
        <v>Valid</v>
      </c>
      <c r="U277" t="str">
        <f t="shared" si="27"/>
        <v>Valid</v>
      </c>
      <c r="V277" t="str">
        <f t="shared" si="28"/>
        <v>Valid</v>
      </c>
      <c r="W277" t="str">
        <f t="shared" si="29"/>
        <v>Outlier</v>
      </c>
    </row>
    <row r="278" spans="1:23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  <c r="Q278" t="str">
        <f>IF(COUNTIF($A$2:A278,A278)&gt;1,"Duplicate","Unique")</f>
        <v>Unique</v>
      </c>
      <c r="R278" t="str">
        <f t="shared" si="24"/>
        <v>Valid</v>
      </c>
      <c r="S278" t="str">
        <f t="shared" si="25"/>
        <v>Valid</v>
      </c>
      <c r="T278" t="str">
        <f t="shared" si="26"/>
        <v>Valid</v>
      </c>
      <c r="U278" t="str">
        <f t="shared" si="27"/>
        <v>Valid</v>
      </c>
      <c r="V278" t="str">
        <f t="shared" si="28"/>
        <v>Valid</v>
      </c>
      <c r="W278" t="str">
        <f t="shared" si="29"/>
        <v>Outlier</v>
      </c>
    </row>
    <row r="279" spans="1:23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  <c r="Q279" t="str">
        <f>IF(COUNTIF($A$2:A279,A279)&gt;1,"Duplicate","Unique")</f>
        <v>Unique</v>
      </c>
      <c r="R279" t="str">
        <f t="shared" si="24"/>
        <v>Valid</v>
      </c>
      <c r="S279" t="str">
        <f t="shared" si="25"/>
        <v>Valid</v>
      </c>
      <c r="T279" t="str">
        <f t="shared" si="26"/>
        <v>Valid</v>
      </c>
      <c r="U279" t="str">
        <f t="shared" si="27"/>
        <v>Valid</v>
      </c>
      <c r="V279" t="str">
        <f t="shared" si="28"/>
        <v>Valid</v>
      </c>
      <c r="W279" t="str">
        <f t="shared" si="29"/>
        <v>Outlier</v>
      </c>
    </row>
    <row r="280" spans="1:23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  <c r="Q280" t="str">
        <f>IF(COUNTIF($A$2:A280,A280)&gt;1,"Duplicate","Unique")</f>
        <v>Unique</v>
      </c>
      <c r="R280" t="str">
        <f t="shared" si="24"/>
        <v>Valid</v>
      </c>
      <c r="S280" t="str">
        <f t="shared" si="25"/>
        <v>Valid</v>
      </c>
      <c r="T280" t="str">
        <f t="shared" si="26"/>
        <v>Valid</v>
      </c>
      <c r="U280" t="str">
        <f t="shared" si="27"/>
        <v>Valid</v>
      </c>
      <c r="V280" t="str">
        <f t="shared" si="28"/>
        <v>Valid</v>
      </c>
      <c r="W280" t="str">
        <f t="shared" si="29"/>
        <v>Outlier</v>
      </c>
    </row>
    <row r="281" spans="1:23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  <c r="Q281" t="str">
        <f>IF(COUNTIF($A$2:A281,A281)&gt;1,"Duplicate","Unique")</f>
        <v>Unique</v>
      </c>
      <c r="R281" t="str">
        <f t="shared" si="24"/>
        <v>Valid</v>
      </c>
      <c r="S281" t="str">
        <f t="shared" si="25"/>
        <v>Valid</v>
      </c>
      <c r="T281" t="str">
        <f t="shared" si="26"/>
        <v>Valid</v>
      </c>
      <c r="U281" t="str">
        <f t="shared" si="27"/>
        <v>Valid</v>
      </c>
      <c r="V281" t="str">
        <f t="shared" si="28"/>
        <v>Valid</v>
      </c>
      <c r="W281" t="str">
        <f t="shared" si="29"/>
        <v>Outlier</v>
      </c>
    </row>
    <row r="282" spans="1:23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  <c r="Q282" t="str">
        <f>IF(COUNTIF($A$2:A282,A282)&gt;1,"Duplicate","Unique")</f>
        <v>Unique</v>
      </c>
      <c r="R282" t="str">
        <f t="shared" si="24"/>
        <v>Valid</v>
      </c>
      <c r="S282" t="str">
        <f t="shared" si="25"/>
        <v>Valid</v>
      </c>
      <c r="T282" t="str">
        <f t="shared" si="26"/>
        <v>Valid</v>
      </c>
      <c r="U282" t="str">
        <f t="shared" si="27"/>
        <v>Valid</v>
      </c>
      <c r="V282" t="str">
        <f t="shared" si="28"/>
        <v>Valid</v>
      </c>
      <c r="W282" t="str">
        <f t="shared" si="29"/>
        <v>Outlier</v>
      </c>
    </row>
    <row r="283" spans="1:23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  <c r="Q283" t="str">
        <f>IF(COUNTIF($A$2:A283,A283)&gt;1,"Duplicate","Unique")</f>
        <v>Unique</v>
      </c>
      <c r="R283" t="str">
        <f t="shared" si="24"/>
        <v>Valid</v>
      </c>
      <c r="S283" t="str">
        <f t="shared" si="25"/>
        <v>Valid</v>
      </c>
      <c r="T283" t="str">
        <f t="shared" si="26"/>
        <v>Valid</v>
      </c>
      <c r="U283" t="str">
        <f t="shared" si="27"/>
        <v>Valid</v>
      </c>
      <c r="V283" t="str">
        <f t="shared" si="28"/>
        <v>Valid</v>
      </c>
      <c r="W283" t="str">
        <f t="shared" si="29"/>
        <v>Outlier</v>
      </c>
    </row>
    <row r="284" spans="1:23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  <c r="Q284" t="str">
        <f>IF(COUNTIF($A$2:A284,A284)&gt;1,"Duplicate","Unique")</f>
        <v>Unique</v>
      </c>
      <c r="R284" t="str">
        <f t="shared" si="24"/>
        <v>Valid</v>
      </c>
      <c r="S284" t="str">
        <f t="shared" si="25"/>
        <v>Valid</v>
      </c>
      <c r="T284" t="str">
        <f t="shared" si="26"/>
        <v>Valid</v>
      </c>
      <c r="U284" t="str">
        <f t="shared" si="27"/>
        <v>Valid</v>
      </c>
      <c r="V284" t="str">
        <f t="shared" si="28"/>
        <v>Valid</v>
      </c>
      <c r="W284" t="str">
        <f t="shared" si="29"/>
        <v>Outlier</v>
      </c>
    </row>
    <row r="285" spans="1:23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  <c r="Q285" t="str">
        <f>IF(COUNTIF($A$2:A285,A285)&gt;1,"Duplicate","Unique")</f>
        <v>Unique</v>
      </c>
      <c r="R285" t="str">
        <f t="shared" si="24"/>
        <v>Valid</v>
      </c>
      <c r="S285" t="str">
        <f t="shared" si="25"/>
        <v>Valid</v>
      </c>
      <c r="T285" t="str">
        <f t="shared" si="26"/>
        <v>Valid</v>
      </c>
      <c r="U285" t="str">
        <f t="shared" si="27"/>
        <v>Valid</v>
      </c>
      <c r="V285" t="str">
        <f t="shared" si="28"/>
        <v>Valid</v>
      </c>
      <c r="W285" t="str">
        <f t="shared" si="29"/>
        <v>Outlier</v>
      </c>
    </row>
    <row r="286" spans="1:23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  <c r="Q286" t="str">
        <f>IF(COUNTIF($A$2:A286,A286)&gt;1,"Duplicate","Unique")</f>
        <v>Unique</v>
      </c>
      <c r="R286" t="str">
        <f t="shared" si="24"/>
        <v>Valid</v>
      </c>
      <c r="S286" t="str">
        <f t="shared" si="25"/>
        <v>Valid</v>
      </c>
      <c r="T286" t="str">
        <f t="shared" si="26"/>
        <v>Valid</v>
      </c>
      <c r="U286" t="str">
        <f t="shared" si="27"/>
        <v>Valid</v>
      </c>
      <c r="V286" t="str">
        <f t="shared" si="28"/>
        <v>Valid</v>
      </c>
      <c r="W286" t="str">
        <f t="shared" si="29"/>
        <v>Outlier</v>
      </c>
    </row>
    <row r="287" spans="1:23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  <c r="Q287" t="str">
        <f>IF(COUNTIF($A$2:A287,A287)&gt;1,"Duplicate","Unique")</f>
        <v>Unique</v>
      </c>
      <c r="R287" t="str">
        <f t="shared" si="24"/>
        <v>Valid</v>
      </c>
      <c r="S287" t="str">
        <f t="shared" si="25"/>
        <v>Valid</v>
      </c>
      <c r="T287" t="str">
        <f t="shared" si="26"/>
        <v>Valid</v>
      </c>
      <c r="U287" t="str">
        <f t="shared" si="27"/>
        <v>Valid</v>
      </c>
      <c r="V287" t="str">
        <f t="shared" si="28"/>
        <v>Valid</v>
      </c>
      <c r="W287" t="str">
        <f t="shared" si="29"/>
        <v>Outlier</v>
      </c>
    </row>
    <row r="288" spans="1:23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  <c r="Q288" t="str">
        <f>IF(COUNTIF($A$2:A288,A288)&gt;1,"Duplicate","Unique")</f>
        <v>Unique</v>
      </c>
      <c r="R288" t="str">
        <f t="shared" si="24"/>
        <v>Valid</v>
      </c>
      <c r="S288" t="str">
        <f t="shared" si="25"/>
        <v>Valid</v>
      </c>
      <c r="T288" t="str">
        <f t="shared" si="26"/>
        <v>Valid</v>
      </c>
      <c r="U288" t="str">
        <f t="shared" si="27"/>
        <v>Valid</v>
      </c>
      <c r="V288" t="str">
        <f t="shared" si="28"/>
        <v>Valid</v>
      </c>
      <c r="W288" t="str">
        <f t="shared" si="29"/>
        <v>Outlier</v>
      </c>
    </row>
    <row r="289" spans="1:23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  <c r="Q289" t="str">
        <f>IF(COUNTIF($A$2:A289,A289)&gt;1,"Duplicate","Unique")</f>
        <v>Unique</v>
      </c>
      <c r="R289" t="str">
        <f t="shared" si="24"/>
        <v>Valid</v>
      </c>
      <c r="S289" t="str">
        <f t="shared" si="25"/>
        <v>Valid</v>
      </c>
      <c r="T289" t="str">
        <f t="shared" si="26"/>
        <v>Valid</v>
      </c>
      <c r="U289" t="str">
        <f t="shared" si="27"/>
        <v>Valid</v>
      </c>
      <c r="V289" t="str">
        <f t="shared" si="28"/>
        <v>Valid</v>
      </c>
      <c r="W289" t="str">
        <f t="shared" si="29"/>
        <v>Outlier</v>
      </c>
    </row>
    <row r="290" spans="1:23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  <c r="Q290" t="str">
        <f>IF(COUNTIF($A$2:A290,A290)&gt;1,"Duplicate","Unique")</f>
        <v>Unique</v>
      </c>
      <c r="R290" t="str">
        <f t="shared" si="24"/>
        <v>Valid</v>
      </c>
      <c r="S290" t="str">
        <f t="shared" si="25"/>
        <v>Valid</v>
      </c>
      <c r="T290" t="str">
        <f t="shared" si="26"/>
        <v>Valid</v>
      </c>
      <c r="U290" t="str">
        <f t="shared" si="27"/>
        <v>Valid</v>
      </c>
      <c r="V290" t="str">
        <f t="shared" si="28"/>
        <v>Valid</v>
      </c>
      <c r="W290" t="str">
        <f t="shared" si="29"/>
        <v>Outlier</v>
      </c>
    </row>
    <row r="291" spans="1:23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  <c r="Q291" t="str">
        <f>IF(COUNTIF($A$2:A291,A291)&gt;1,"Duplicate","Unique")</f>
        <v>Unique</v>
      </c>
      <c r="R291" t="str">
        <f t="shared" si="24"/>
        <v>Valid</v>
      </c>
      <c r="S291" t="str">
        <f t="shared" si="25"/>
        <v>Valid</v>
      </c>
      <c r="T291" t="str">
        <f t="shared" si="26"/>
        <v>Valid</v>
      </c>
      <c r="U291" t="str">
        <f t="shared" si="27"/>
        <v>Valid</v>
      </c>
      <c r="V291" t="str">
        <f t="shared" si="28"/>
        <v>Valid</v>
      </c>
      <c r="W291" t="str">
        <f t="shared" si="29"/>
        <v>Outlier</v>
      </c>
    </row>
    <row r="292" spans="1:23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  <c r="Q292" t="str">
        <f>IF(COUNTIF($A$2:A292,A292)&gt;1,"Duplicate","Unique")</f>
        <v>Unique</v>
      </c>
      <c r="R292" t="str">
        <f t="shared" si="24"/>
        <v>Valid</v>
      </c>
      <c r="S292" t="str">
        <f t="shared" si="25"/>
        <v>Valid</v>
      </c>
      <c r="T292" t="str">
        <f t="shared" si="26"/>
        <v>Valid</v>
      </c>
      <c r="U292" t="str">
        <f t="shared" si="27"/>
        <v>Valid</v>
      </c>
      <c r="V292" t="str">
        <f t="shared" si="28"/>
        <v>Valid</v>
      </c>
      <c r="W292" t="str">
        <f t="shared" si="29"/>
        <v>Outlier</v>
      </c>
    </row>
    <row r="293" spans="1:23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  <c r="Q293" t="str">
        <f>IF(COUNTIF($A$2:A293,A293)&gt;1,"Duplicate","Unique")</f>
        <v>Unique</v>
      </c>
      <c r="R293" t="str">
        <f t="shared" si="24"/>
        <v>Valid</v>
      </c>
      <c r="S293" t="str">
        <f t="shared" si="25"/>
        <v>Valid</v>
      </c>
      <c r="T293" t="str">
        <f t="shared" si="26"/>
        <v>Valid</v>
      </c>
      <c r="U293" t="str">
        <f t="shared" si="27"/>
        <v>Valid</v>
      </c>
      <c r="V293" t="str">
        <f t="shared" si="28"/>
        <v>Valid</v>
      </c>
      <c r="W293" t="str">
        <f t="shared" si="29"/>
        <v>Outlier</v>
      </c>
    </row>
    <row r="294" spans="1:23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  <c r="Q294" t="str">
        <f>IF(COUNTIF($A$2:A294,A294)&gt;1,"Duplicate","Unique")</f>
        <v>Unique</v>
      </c>
      <c r="R294" t="str">
        <f t="shared" si="24"/>
        <v>Valid</v>
      </c>
      <c r="S294" t="str">
        <f t="shared" si="25"/>
        <v>Valid</v>
      </c>
      <c r="T294" t="str">
        <f t="shared" si="26"/>
        <v>Valid</v>
      </c>
      <c r="U294" t="str">
        <f t="shared" si="27"/>
        <v>Valid</v>
      </c>
      <c r="V294" t="str">
        <f t="shared" si="28"/>
        <v>Valid</v>
      </c>
      <c r="W294" t="str">
        <f t="shared" si="29"/>
        <v>Outlier</v>
      </c>
    </row>
    <row r="295" spans="1:23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  <c r="Q295" t="str">
        <f>IF(COUNTIF($A$2:A295,A295)&gt;1,"Duplicate","Unique")</f>
        <v>Unique</v>
      </c>
      <c r="R295" t="str">
        <f t="shared" si="24"/>
        <v>Valid</v>
      </c>
      <c r="S295" t="str">
        <f t="shared" si="25"/>
        <v>Valid</v>
      </c>
      <c r="T295" t="str">
        <f t="shared" si="26"/>
        <v>Valid</v>
      </c>
      <c r="U295" t="str">
        <f t="shared" si="27"/>
        <v>Valid</v>
      </c>
      <c r="V295" t="str">
        <f t="shared" si="28"/>
        <v>Valid</v>
      </c>
      <c r="W295" t="str">
        <f t="shared" si="29"/>
        <v>Outlier</v>
      </c>
    </row>
    <row r="296" spans="1:23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  <c r="Q296" t="str">
        <f>IF(COUNTIF($A$2:A296,A296)&gt;1,"Duplicate","Unique")</f>
        <v>Unique</v>
      </c>
      <c r="R296" t="str">
        <f t="shared" si="24"/>
        <v>Valid</v>
      </c>
      <c r="S296" t="str">
        <f t="shared" si="25"/>
        <v>Valid</v>
      </c>
      <c r="T296" t="str">
        <f t="shared" si="26"/>
        <v>Valid</v>
      </c>
      <c r="U296" t="str">
        <f t="shared" si="27"/>
        <v>Valid</v>
      </c>
      <c r="V296" t="str">
        <f t="shared" si="28"/>
        <v>Valid</v>
      </c>
      <c r="W296" t="str">
        <f t="shared" si="29"/>
        <v>Outlier</v>
      </c>
    </row>
    <row r="297" spans="1:23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  <c r="Q297" t="str">
        <f>IF(COUNTIF($A$2:A297,A297)&gt;1,"Duplicate","Unique")</f>
        <v>Unique</v>
      </c>
      <c r="R297" t="str">
        <f t="shared" si="24"/>
        <v>Valid</v>
      </c>
      <c r="S297" t="str">
        <f t="shared" si="25"/>
        <v>Valid</v>
      </c>
      <c r="T297" t="str">
        <f t="shared" si="26"/>
        <v>Valid</v>
      </c>
      <c r="U297" t="str">
        <f t="shared" si="27"/>
        <v>Valid</v>
      </c>
      <c r="V297" t="str">
        <f t="shared" si="28"/>
        <v>Valid</v>
      </c>
      <c r="W297" t="str">
        <f t="shared" si="29"/>
        <v>Outlier</v>
      </c>
    </row>
    <row r="298" spans="1:23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  <c r="Q298" t="str">
        <f>IF(COUNTIF($A$2:A298,A298)&gt;1,"Duplicate","Unique")</f>
        <v>Unique</v>
      </c>
      <c r="R298" t="str">
        <f t="shared" si="24"/>
        <v>Valid</v>
      </c>
      <c r="S298" t="str">
        <f t="shared" si="25"/>
        <v>Valid</v>
      </c>
      <c r="T298" t="str">
        <f t="shared" si="26"/>
        <v>Valid</v>
      </c>
      <c r="U298" t="str">
        <f t="shared" si="27"/>
        <v>Valid</v>
      </c>
      <c r="V298" t="str">
        <f t="shared" si="28"/>
        <v>Valid</v>
      </c>
      <c r="W298" t="str">
        <f t="shared" si="29"/>
        <v>Outlier</v>
      </c>
    </row>
    <row r="299" spans="1:23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  <c r="Q299" t="str">
        <f>IF(COUNTIF($A$2:A299,A299)&gt;1,"Duplicate","Unique")</f>
        <v>Unique</v>
      </c>
      <c r="R299" t="str">
        <f t="shared" si="24"/>
        <v>Valid</v>
      </c>
      <c r="S299" t="str">
        <f t="shared" si="25"/>
        <v>Valid</v>
      </c>
      <c r="T299" t="str">
        <f t="shared" si="26"/>
        <v>Valid</v>
      </c>
      <c r="U299" t="str">
        <f t="shared" si="27"/>
        <v>Valid</v>
      </c>
      <c r="V299" t="str">
        <f t="shared" si="28"/>
        <v>Valid</v>
      </c>
      <c r="W299" t="str">
        <f t="shared" si="29"/>
        <v>Outlier</v>
      </c>
    </row>
    <row r="300" spans="1:23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  <c r="Q300" t="str">
        <f>IF(COUNTIF($A$2:A300,A300)&gt;1,"Duplicate","Unique")</f>
        <v>Unique</v>
      </c>
      <c r="R300" t="str">
        <f t="shared" si="24"/>
        <v>Valid</v>
      </c>
      <c r="S300" t="str">
        <f t="shared" si="25"/>
        <v>Valid</v>
      </c>
      <c r="T300" t="str">
        <f t="shared" si="26"/>
        <v>Valid</v>
      </c>
      <c r="U300" t="str">
        <f t="shared" si="27"/>
        <v>Valid</v>
      </c>
      <c r="V300" t="str">
        <f t="shared" si="28"/>
        <v>Valid</v>
      </c>
      <c r="W300" t="str">
        <f t="shared" si="29"/>
        <v>Outlier</v>
      </c>
    </row>
    <row r="301" spans="1:23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  <c r="Q301" t="str">
        <f>IF(COUNTIF($A$2:A301,A301)&gt;1,"Duplicate","Unique")</f>
        <v>Unique</v>
      </c>
      <c r="R301" t="str">
        <f t="shared" si="24"/>
        <v>Valid</v>
      </c>
      <c r="S301" t="str">
        <f t="shared" si="25"/>
        <v>Valid</v>
      </c>
      <c r="T301" t="str">
        <f t="shared" si="26"/>
        <v>Valid</v>
      </c>
      <c r="U301" t="str">
        <f t="shared" si="27"/>
        <v>Valid</v>
      </c>
      <c r="V301" t="str">
        <f t="shared" si="28"/>
        <v>Valid</v>
      </c>
      <c r="W301" t="str">
        <f t="shared" si="29"/>
        <v>Outlier</v>
      </c>
    </row>
    <row r="302" spans="1:23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  <c r="Q302" t="str">
        <f>IF(COUNTIF($A$2:A302,A302)&gt;1,"Duplicate","Unique")</f>
        <v>Unique</v>
      </c>
      <c r="R302" t="str">
        <f t="shared" si="24"/>
        <v>Valid</v>
      </c>
      <c r="S302" t="str">
        <f t="shared" si="25"/>
        <v>Valid</v>
      </c>
      <c r="T302" t="str">
        <f t="shared" si="26"/>
        <v>Valid</v>
      </c>
      <c r="U302" t="str">
        <f t="shared" si="27"/>
        <v>Valid</v>
      </c>
      <c r="V302" t="str">
        <f t="shared" si="28"/>
        <v>Valid</v>
      </c>
      <c r="W302" t="str">
        <f t="shared" si="29"/>
        <v>Outlier</v>
      </c>
    </row>
    <row r="303" spans="1:23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  <c r="Q303" t="str">
        <f>IF(COUNTIF($A$2:A303,A303)&gt;1,"Duplicate","Unique")</f>
        <v>Unique</v>
      </c>
      <c r="R303" t="str">
        <f t="shared" si="24"/>
        <v>Valid</v>
      </c>
      <c r="S303" t="str">
        <f t="shared" si="25"/>
        <v>Valid</v>
      </c>
      <c r="T303" t="str">
        <f t="shared" si="26"/>
        <v>Valid</v>
      </c>
      <c r="U303" t="str">
        <f t="shared" si="27"/>
        <v>Valid</v>
      </c>
      <c r="V303" t="str">
        <f t="shared" si="28"/>
        <v>Valid</v>
      </c>
      <c r="W303" t="str">
        <f t="shared" si="29"/>
        <v>Outlier</v>
      </c>
    </row>
    <row r="304" spans="1:23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  <c r="Q304" t="str">
        <f>IF(COUNTIF($A$2:A304,A304)&gt;1,"Duplicate","Unique")</f>
        <v>Unique</v>
      </c>
      <c r="R304" t="str">
        <f t="shared" si="24"/>
        <v>Valid</v>
      </c>
      <c r="S304" t="str">
        <f t="shared" si="25"/>
        <v>Valid</v>
      </c>
      <c r="T304" t="str">
        <f t="shared" si="26"/>
        <v>Valid</v>
      </c>
      <c r="U304" t="str">
        <f t="shared" si="27"/>
        <v>Valid</v>
      </c>
      <c r="V304" t="str">
        <f t="shared" si="28"/>
        <v>Valid</v>
      </c>
      <c r="W304" t="str">
        <f t="shared" si="29"/>
        <v>Outlier</v>
      </c>
    </row>
    <row r="305" spans="1:23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  <c r="Q305" t="str">
        <f>IF(COUNTIF($A$2:A305,A305)&gt;1,"Duplicate","Unique")</f>
        <v>Unique</v>
      </c>
      <c r="R305" t="str">
        <f t="shared" si="24"/>
        <v>Valid</v>
      </c>
      <c r="S305" t="str">
        <f t="shared" si="25"/>
        <v>Valid</v>
      </c>
      <c r="T305" t="str">
        <f t="shared" si="26"/>
        <v>Valid</v>
      </c>
      <c r="U305" t="str">
        <f t="shared" si="27"/>
        <v>Valid</v>
      </c>
      <c r="V305" t="str">
        <f t="shared" si="28"/>
        <v>Valid</v>
      </c>
      <c r="W305" t="str">
        <f t="shared" si="29"/>
        <v>Outlier</v>
      </c>
    </row>
    <row r="306" spans="1:23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  <c r="Q306" t="str">
        <f>IF(COUNTIF($A$2:A306,A306)&gt;1,"Duplicate","Unique")</f>
        <v>Unique</v>
      </c>
      <c r="R306" t="str">
        <f t="shared" si="24"/>
        <v>Valid</v>
      </c>
      <c r="S306" t="str">
        <f t="shared" si="25"/>
        <v>Valid</v>
      </c>
      <c r="T306" t="str">
        <f t="shared" si="26"/>
        <v>Valid</v>
      </c>
      <c r="U306" t="str">
        <f t="shared" si="27"/>
        <v>Valid</v>
      </c>
      <c r="V306" t="str">
        <f t="shared" si="28"/>
        <v>Valid</v>
      </c>
      <c r="W306" t="str">
        <f t="shared" si="29"/>
        <v>Outlier</v>
      </c>
    </row>
    <row r="307" spans="1:23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  <c r="Q307" t="str">
        <f>IF(COUNTIF($A$2:A307,A307)&gt;1,"Duplicate","Unique")</f>
        <v>Unique</v>
      </c>
      <c r="R307" t="str">
        <f t="shared" si="24"/>
        <v>Valid</v>
      </c>
      <c r="S307" t="str">
        <f t="shared" si="25"/>
        <v>Valid</v>
      </c>
      <c r="T307" t="str">
        <f t="shared" si="26"/>
        <v>Valid</v>
      </c>
      <c r="U307" t="str">
        <f t="shared" si="27"/>
        <v>Valid</v>
      </c>
      <c r="V307" t="str">
        <f t="shared" si="28"/>
        <v>Valid</v>
      </c>
      <c r="W307" t="str">
        <f t="shared" si="29"/>
        <v>Outlier</v>
      </c>
    </row>
    <row r="308" spans="1:23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  <c r="Q308" t="str">
        <f>IF(COUNTIF($A$2:A308,A308)&gt;1,"Duplicate","Unique")</f>
        <v>Unique</v>
      </c>
      <c r="R308" t="str">
        <f t="shared" si="24"/>
        <v>Valid</v>
      </c>
      <c r="S308" t="str">
        <f t="shared" si="25"/>
        <v>Valid</v>
      </c>
      <c r="T308" t="str">
        <f t="shared" si="26"/>
        <v>Valid</v>
      </c>
      <c r="U308" t="str">
        <f t="shared" si="27"/>
        <v>Valid</v>
      </c>
      <c r="V308" t="str">
        <f t="shared" si="28"/>
        <v>Valid</v>
      </c>
      <c r="W308" t="str">
        <f t="shared" si="29"/>
        <v>Outlier</v>
      </c>
    </row>
    <row r="309" spans="1:23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  <c r="Q309" t="str">
        <f>IF(COUNTIF($A$2:A309,A309)&gt;1,"Duplicate","Unique")</f>
        <v>Unique</v>
      </c>
      <c r="R309" t="str">
        <f t="shared" si="24"/>
        <v>Valid</v>
      </c>
      <c r="S309" t="str">
        <f t="shared" si="25"/>
        <v>Valid</v>
      </c>
      <c r="T309" t="str">
        <f t="shared" si="26"/>
        <v>Valid</v>
      </c>
      <c r="U309" t="str">
        <f t="shared" si="27"/>
        <v>Valid</v>
      </c>
      <c r="V309" t="str">
        <f t="shared" si="28"/>
        <v>Valid</v>
      </c>
      <c r="W309" t="str">
        <f t="shared" si="29"/>
        <v>Outlier</v>
      </c>
    </row>
    <row r="310" spans="1:23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  <c r="Q310" t="str">
        <f>IF(COUNTIF($A$2:A310,A310)&gt;1,"Duplicate","Unique")</f>
        <v>Unique</v>
      </c>
      <c r="R310" t="str">
        <f t="shared" si="24"/>
        <v>Valid</v>
      </c>
      <c r="S310" t="str">
        <f t="shared" si="25"/>
        <v>Valid</v>
      </c>
      <c r="T310" t="str">
        <f t="shared" si="26"/>
        <v>Valid</v>
      </c>
      <c r="U310" t="str">
        <f t="shared" si="27"/>
        <v>Valid</v>
      </c>
      <c r="V310" t="str">
        <f t="shared" si="28"/>
        <v>Valid</v>
      </c>
      <c r="W310" t="str">
        <f t="shared" si="29"/>
        <v>Outlier</v>
      </c>
    </row>
    <row r="311" spans="1:23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  <c r="Q311" t="str">
        <f>IF(COUNTIF($A$2:A311,A311)&gt;1,"Duplicate","Unique")</f>
        <v>Unique</v>
      </c>
      <c r="R311" t="str">
        <f t="shared" si="24"/>
        <v>Valid</v>
      </c>
      <c r="S311" t="str">
        <f t="shared" si="25"/>
        <v>Valid</v>
      </c>
      <c r="T311" t="str">
        <f t="shared" si="26"/>
        <v>Valid</v>
      </c>
      <c r="U311" t="str">
        <f t="shared" si="27"/>
        <v>Valid</v>
      </c>
      <c r="V311" t="str">
        <f t="shared" si="28"/>
        <v>Valid</v>
      </c>
      <c r="W311" t="str">
        <f t="shared" si="29"/>
        <v>Outlier</v>
      </c>
    </row>
    <row r="312" spans="1:23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  <c r="Q312" t="str">
        <f>IF(COUNTIF($A$2:A312,A312)&gt;1,"Duplicate","Unique")</f>
        <v>Unique</v>
      </c>
      <c r="R312" t="str">
        <f t="shared" si="24"/>
        <v>Valid</v>
      </c>
      <c r="S312" t="str">
        <f t="shared" si="25"/>
        <v>Valid</v>
      </c>
      <c r="T312" t="str">
        <f t="shared" si="26"/>
        <v>Valid</v>
      </c>
      <c r="U312" t="str">
        <f t="shared" si="27"/>
        <v>Valid</v>
      </c>
      <c r="V312" t="str">
        <f t="shared" si="28"/>
        <v>Valid</v>
      </c>
      <c r="W312" t="str">
        <f t="shared" si="29"/>
        <v>Outlier</v>
      </c>
    </row>
    <row r="313" spans="1:23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  <c r="Q313" t="str">
        <f>IF(COUNTIF($A$2:A313,A313)&gt;1,"Duplicate","Unique")</f>
        <v>Unique</v>
      </c>
      <c r="R313" t="str">
        <f t="shared" si="24"/>
        <v>Valid</v>
      </c>
      <c r="S313" t="str">
        <f t="shared" si="25"/>
        <v>Valid</v>
      </c>
      <c r="T313" t="str">
        <f t="shared" si="26"/>
        <v>Valid</v>
      </c>
      <c r="U313" t="str">
        <f t="shared" si="27"/>
        <v>Valid</v>
      </c>
      <c r="V313" t="str">
        <f t="shared" si="28"/>
        <v>Valid</v>
      </c>
      <c r="W313" t="str">
        <f t="shared" si="29"/>
        <v>Outlier</v>
      </c>
    </row>
    <row r="314" spans="1:23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  <c r="Q314" t="str">
        <f>IF(COUNTIF($A$2:A314,A314)&gt;1,"Duplicate","Unique")</f>
        <v>Unique</v>
      </c>
      <c r="R314" t="str">
        <f t="shared" si="24"/>
        <v>Valid</v>
      </c>
      <c r="S314" t="str">
        <f t="shared" si="25"/>
        <v>Valid</v>
      </c>
      <c r="T314" t="str">
        <f t="shared" si="26"/>
        <v>Valid</v>
      </c>
      <c r="U314" t="str">
        <f t="shared" si="27"/>
        <v>Valid</v>
      </c>
      <c r="V314" t="str">
        <f t="shared" si="28"/>
        <v>Valid</v>
      </c>
      <c r="W314" t="str">
        <f t="shared" si="29"/>
        <v>Outlier</v>
      </c>
    </row>
    <row r="315" spans="1:23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  <c r="Q315" t="str">
        <f>IF(COUNTIF($A$2:A315,A315)&gt;1,"Duplicate","Unique")</f>
        <v>Unique</v>
      </c>
      <c r="R315" t="str">
        <f t="shared" si="24"/>
        <v>Valid</v>
      </c>
      <c r="S315" t="str">
        <f t="shared" si="25"/>
        <v>Valid</v>
      </c>
      <c r="T315" t="str">
        <f t="shared" si="26"/>
        <v>Valid</v>
      </c>
      <c r="U315" t="str">
        <f t="shared" si="27"/>
        <v>Valid</v>
      </c>
      <c r="V315" t="str">
        <f t="shared" si="28"/>
        <v>Valid</v>
      </c>
      <c r="W315" t="str">
        <f t="shared" si="29"/>
        <v>Outlier</v>
      </c>
    </row>
    <row r="316" spans="1:23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  <c r="Q316" t="str">
        <f>IF(COUNTIF($A$2:A316,A316)&gt;1,"Duplicate","Unique")</f>
        <v>Unique</v>
      </c>
      <c r="R316" t="str">
        <f t="shared" si="24"/>
        <v>Valid</v>
      </c>
      <c r="S316" t="str">
        <f t="shared" si="25"/>
        <v>Valid</v>
      </c>
      <c r="T316" t="str">
        <f t="shared" si="26"/>
        <v>Valid</v>
      </c>
      <c r="U316" t="str">
        <f t="shared" si="27"/>
        <v>Valid</v>
      </c>
      <c r="V316" t="str">
        <f t="shared" si="28"/>
        <v>Valid</v>
      </c>
      <c r="W316" t="str">
        <f t="shared" si="29"/>
        <v>Outlier</v>
      </c>
    </row>
    <row r="317" spans="1:23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  <c r="Q317" t="str">
        <f>IF(COUNTIF($A$2:A317,A317)&gt;1,"Duplicate","Unique")</f>
        <v>Unique</v>
      </c>
      <c r="R317" t="str">
        <f t="shared" si="24"/>
        <v>Valid</v>
      </c>
      <c r="S317" t="str">
        <f t="shared" si="25"/>
        <v>Valid</v>
      </c>
      <c r="T317" t="str">
        <f t="shared" si="26"/>
        <v>Valid</v>
      </c>
      <c r="U317" t="str">
        <f t="shared" si="27"/>
        <v>Valid</v>
      </c>
      <c r="V317" t="str">
        <f t="shared" si="28"/>
        <v>Valid</v>
      </c>
      <c r="W317" t="str">
        <f t="shared" si="29"/>
        <v>Outlier</v>
      </c>
    </row>
    <row r="318" spans="1:23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  <c r="Q318" t="str">
        <f>IF(COUNTIF($A$2:A318,A318)&gt;1,"Duplicate","Unique")</f>
        <v>Unique</v>
      </c>
      <c r="R318" t="str">
        <f t="shared" si="24"/>
        <v>Valid</v>
      </c>
      <c r="S318" t="str">
        <f t="shared" si="25"/>
        <v>Valid</v>
      </c>
      <c r="T318" t="str">
        <f t="shared" si="26"/>
        <v>Valid</v>
      </c>
      <c r="U318" t="str">
        <f t="shared" si="27"/>
        <v>Valid</v>
      </c>
      <c r="V318" t="str">
        <f t="shared" si="28"/>
        <v>Valid</v>
      </c>
      <c r="W318" t="str">
        <f t="shared" si="29"/>
        <v>Outlier</v>
      </c>
    </row>
    <row r="319" spans="1:23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  <c r="Q319" t="str">
        <f>IF(COUNTIF($A$2:A319,A319)&gt;1,"Duplicate","Unique")</f>
        <v>Unique</v>
      </c>
      <c r="R319" t="str">
        <f t="shared" si="24"/>
        <v>Valid</v>
      </c>
      <c r="S319" t="str">
        <f t="shared" si="25"/>
        <v>Valid</v>
      </c>
      <c r="T319" t="str">
        <f t="shared" si="26"/>
        <v>Valid</v>
      </c>
      <c r="U319" t="str">
        <f t="shared" si="27"/>
        <v>Valid</v>
      </c>
      <c r="V319" t="str">
        <f t="shared" si="28"/>
        <v>Valid</v>
      </c>
      <c r="W319" t="str">
        <f t="shared" si="29"/>
        <v>Outlier</v>
      </c>
    </row>
    <row r="320" spans="1:23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  <c r="Q320" t="str">
        <f>IF(COUNTIF($A$2:A320,A320)&gt;1,"Duplicate","Unique")</f>
        <v>Unique</v>
      </c>
      <c r="R320" t="str">
        <f t="shared" si="24"/>
        <v>Valid</v>
      </c>
      <c r="S320" t="str">
        <f t="shared" si="25"/>
        <v>Valid</v>
      </c>
      <c r="T320" t="str">
        <f t="shared" si="26"/>
        <v>Valid</v>
      </c>
      <c r="U320" t="str">
        <f t="shared" si="27"/>
        <v>Valid</v>
      </c>
      <c r="V320" t="str">
        <f t="shared" si="28"/>
        <v>Valid</v>
      </c>
      <c r="W320" t="str">
        <f t="shared" si="29"/>
        <v>Outlier</v>
      </c>
    </row>
    <row r="321" spans="1:23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  <c r="Q321" t="str">
        <f>IF(COUNTIF($A$2:A321,A321)&gt;1,"Duplicate","Unique")</f>
        <v>Unique</v>
      </c>
      <c r="R321" t="str">
        <f t="shared" si="24"/>
        <v>Valid</v>
      </c>
      <c r="S321" t="str">
        <f t="shared" si="25"/>
        <v>Valid</v>
      </c>
      <c r="T321" t="str">
        <f t="shared" si="26"/>
        <v>Valid</v>
      </c>
      <c r="U321" t="str">
        <f t="shared" si="27"/>
        <v>Valid</v>
      </c>
      <c r="V321" t="str">
        <f t="shared" si="28"/>
        <v>Valid</v>
      </c>
      <c r="W321" t="str">
        <f t="shared" si="29"/>
        <v>Outlier</v>
      </c>
    </row>
    <row r="322" spans="1:23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  <c r="Q322" t="str">
        <f>IF(COUNTIF($A$2:A322,A322)&gt;1,"Duplicate","Unique")</f>
        <v>Unique</v>
      </c>
      <c r="R322" t="str">
        <f t="shared" si="24"/>
        <v>Valid</v>
      </c>
      <c r="S322" t="str">
        <f t="shared" si="25"/>
        <v>Valid</v>
      </c>
      <c r="T322" t="str">
        <f t="shared" si="26"/>
        <v>Valid</v>
      </c>
      <c r="U322" t="str">
        <f t="shared" si="27"/>
        <v>Valid</v>
      </c>
      <c r="V322" t="str">
        <f t="shared" si="28"/>
        <v>Valid</v>
      </c>
      <c r="W322" t="str">
        <f t="shared" si="29"/>
        <v>Outlier</v>
      </c>
    </row>
    <row r="323" spans="1:23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  <c r="Q323" t="str">
        <f>IF(COUNTIF($A$2:A323,A323)&gt;1,"Duplicate","Unique")</f>
        <v>Unique</v>
      </c>
      <c r="R323" t="str">
        <f t="shared" ref="R323:R386" si="30">IF(OR(H323=0,H323=1),"Valid","Invalid")</f>
        <v>Valid</v>
      </c>
      <c r="S323" t="str">
        <f t="shared" ref="S323:S386" si="31">IF(OR(I323=0,I323=1),"Valid","Invalid")</f>
        <v>Valid</v>
      </c>
      <c r="T323" t="str">
        <f t="shared" ref="T323:T386" si="32">IF(OR(J323=0,J323=1),"Valid","Invalid")</f>
        <v>Valid</v>
      </c>
      <c r="U323" t="str">
        <f t="shared" ref="U323:U386" si="33">IF(OR(K323=0,K323=1),"Valid","Invalid")</f>
        <v>Valid</v>
      </c>
      <c r="V323" t="str">
        <f t="shared" ref="V323:V386" si="34">IF(OR(N323=0,N323=1),"Valid","Invalid")</f>
        <v>Valid</v>
      </c>
      <c r="W323" t="str">
        <f t="shared" ref="W323:W386" si="35">IF(OR(L323&lt;$B$23,L323&gt;$B$24),"Outlier","Normal")</f>
        <v>Outlier</v>
      </c>
    </row>
    <row r="324" spans="1:23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  <c r="Q324" t="str">
        <f>IF(COUNTIF($A$2:A324,A324)&gt;1,"Duplicate","Unique")</f>
        <v>Unique</v>
      </c>
      <c r="R324" t="str">
        <f t="shared" si="30"/>
        <v>Valid</v>
      </c>
      <c r="S324" t="str">
        <f t="shared" si="31"/>
        <v>Valid</v>
      </c>
      <c r="T324" t="str">
        <f t="shared" si="32"/>
        <v>Valid</v>
      </c>
      <c r="U324" t="str">
        <f t="shared" si="33"/>
        <v>Valid</v>
      </c>
      <c r="V324" t="str">
        <f t="shared" si="34"/>
        <v>Valid</v>
      </c>
      <c r="W324" t="str">
        <f t="shared" si="35"/>
        <v>Outlier</v>
      </c>
    </row>
    <row r="325" spans="1:23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  <c r="Q325" t="str">
        <f>IF(COUNTIF($A$2:A325,A325)&gt;1,"Duplicate","Unique")</f>
        <v>Unique</v>
      </c>
      <c r="R325" t="str">
        <f t="shared" si="30"/>
        <v>Valid</v>
      </c>
      <c r="S325" t="str">
        <f t="shared" si="31"/>
        <v>Valid</v>
      </c>
      <c r="T325" t="str">
        <f t="shared" si="32"/>
        <v>Valid</v>
      </c>
      <c r="U325" t="str">
        <f t="shared" si="33"/>
        <v>Valid</v>
      </c>
      <c r="V325" t="str">
        <f t="shared" si="34"/>
        <v>Valid</v>
      </c>
      <c r="W325" t="str">
        <f t="shared" si="35"/>
        <v>Outlier</v>
      </c>
    </row>
    <row r="326" spans="1:23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  <c r="Q326" t="str">
        <f>IF(COUNTIF($A$2:A326,A326)&gt;1,"Duplicate","Unique")</f>
        <v>Unique</v>
      </c>
      <c r="R326" t="str">
        <f t="shared" si="30"/>
        <v>Valid</v>
      </c>
      <c r="S326" t="str">
        <f t="shared" si="31"/>
        <v>Valid</v>
      </c>
      <c r="T326" t="str">
        <f t="shared" si="32"/>
        <v>Valid</v>
      </c>
      <c r="U326" t="str">
        <f t="shared" si="33"/>
        <v>Valid</v>
      </c>
      <c r="V326" t="str">
        <f t="shared" si="34"/>
        <v>Valid</v>
      </c>
      <c r="W326" t="str">
        <f t="shared" si="35"/>
        <v>Outlier</v>
      </c>
    </row>
    <row r="327" spans="1:23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  <c r="Q327" t="str">
        <f>IF(COUNTIF($A$2:A327,A327)&gt;1,"Duplicate","Unique")</f>
        <v>Unique</v>
      </c>
      <c r="R327" t="str">
        <f t="shared" si="30"/>
        <v>Valid</v>
      </c>
      <c r="S327" t="str">
        <f t="shared" si="31"/>
        <v>Valid</v>
      </c>
      <c r="T327" t="str">
        <f t="shared" si="32"/>
        <v>Valid</v>
      </c>
      <c r="U327" t="str">
        <f t="shared" si="33"/>
        <v>Valid</v>
      </c>
      <c r="V327" t="str">
        <f t="shared" si="34"/>
        <v>Valid</v>
      </c>
      <c r="W327" t="str">
        <f t="shared" si="35"/>
        <v>Outlier</v>
      </c>
    </row>
    <row r="328" spans="1:23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  <c r="Q328" t="str">
        <f>IF(COUNTIF($A$2:A328,A328)&gt;1,"Duplicate","Unique")</f>
        <v>Unique</v>
      </c>
      <c r="R328" t="str">
        <f t="shared" si="30"/>
        <v>Valid</v>
      </c>
      <c r="S328" t="str">
        <f t="shared" si="31"/>
        <v>Valid</v>
      </c>
      <c r="T328" t="str">
        <f t="shared" si="32"/>
        <v>Valid</v>
      </c>
      <c r="U328" t="str">
        <f t="shared" si="33"/>
        <v>Valid</v>
      </c>
      <c r="V328" t="str">
        <f t="shared" si="34"/>
        <v>Valid</v>
      </c>
      <c r="W328" t="str">
        <f t="shared" si="35"/>
        <v>Outlier</v>
      </c>
    </row>
    <row r="329" spans="1:23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  <c r="Q329" t="str">
        <f>IF(COUNTIF($A$2:A329,A329)&gt;1,"Duplicate","Unique")</f>
        <v>Unique</v>
      </c>
      <c r="R329" t="str">
        <f t="shared" si="30"/>
        <v>Valid</v>
      </c>
      <c r="S329" t="str">
        <f t="shared" si="31"/>
        <v>Valid</v>
      </c>
      <c r="T329" t="str">
        <f t="shared" si="32"/>
        <v>Valid</v>
      </c>
      <c r="U329" t="str">
        <f t="shared" si="33"/>
        <v>Valid</v>
      </c>
      <c r="V329" t="str">
        <f t="shared" si="34"/>
        <v>Valid</v>
      </c>
      <c r="W329" t="str">
        <f t="shared" si="35"/>
        <v>Outlier</v>
      </c>
    </row>
    <row r="330" spans="1:23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  <c r="Q330" t="str">
        <f>IF(COUNTIF($A$2:A330,A330)&gt;1,"Duplicate","Unique")</f>
        <v>Unique</v>
      </c>
      <c r="R330" t="str">
        <f t="shared" si="30"/>
        <v>Valid</v>
      </c>
      <c r="S330" t="str">
        <f t="shared" si="31"/>
        <v>Valid</v>
      </c>
      <c r="T330" t="str">
        <f t="shared" si="32"/>
        <v>Valid</v>
      </c>
      <c r="U330" t="str">
        <f t="shared" si="33"/>
        <v>Valid</v>
      </c>
      <c r="V330" t="str">
        <f t="shared" si="34"/>
        <v>Valid</v>
      </c>
      <c r="W330" t="str">
        <f t="shared" si="35"/>
        <v>Outlier</v>
      </c>
    </row>
    <row r="331" spans="1:23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  <c r="Q331" t="str">
        <f>IF(COUNTIF($A$2:A331,A331)&gt;1,"Duplicate","Unique")</f>
        <v>Unique</v>
      </c>
      <c r="R331" t="str">
        <f t="shared" si="30"/>
        <v>Valid</v>
      </c>
      <c r="S331" t="str">
        <f t="shared" si="31"/>
        <v>Valid</v>
      </c>
      <c r="T331" t="str">
        <f t="shared" si="32"/>
        <v>Valid</v>
      </c>
      <c r="U331" t="str">
        <f t="shared" si="33"/>
        <v>Valid</v>
      </c>
      <c r="V331" t="str">
        <f t="shared" si="34"/>
        <v>Valid</v>
      </c>
      <c r="W331" t="str">
        <f t="shared" si="35"/>
        <v>Outlier</v>
      </c>
    </row>
    <row r="332" spans="1:23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  <c r="Q332" t="str">
        <f>IF(COUNTIF($A$2:A332,A332)&gt;1,"Duplicate","Unique")</f>
        <v>Unique</v>
      </c>
      <c r="R332" t="str">
        <f t="shared" si="30"/>
        <v>Valid</v>
      </c>
      <c r="S332" t="str">
        <f t="shared" si="31"/>
        <v>Valid</v>
      </c>
      <c r="T332" t="str">
        <f t="shared" si="32"/>
        <v>Valid</v>
      </c>
      <c r="U332" t="str">
        <f t="shared" si="33"/>
        <v>Valid</v>
      </c>
      <c r="V332" t="str">
        <f t="shared" si="34"/>
        <v>Valid</v>
      </c>
      <c r="W332" t="str">
        <f t="shared" si="35"/>
        <v>Outlier</v>
      </c>
    </row>
    <row r="333" spans="1:23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  <c r="Q333" t="str">
        <f>IF(COUNTIF($A$2:A333,A333)&gt;1,"Duplicate","Unique")</f>
        <v>Unique</v>
      </c>
      <c r="R333" t="str">
        <f t="shared" si="30"/>
        <v>Valid</v>
      </c>
      <c r="S333" t="str">
        <f t="shared" si="31"/>
        <v>Valid</v>
      </c>
      <c r="T333" t="str">
        <f t="shared" si="32"/>
        <v>Valid</v>
      </c>
      <c r="U333" t="str">
        <f t="shared" si="33"/>
        <v>Valid</v>
      </c>
      <c r="V333" t="str">
        <f t="shared" si="34"/>
        <v>Valid</v>
      </c>
      <c r="W333" t="str">
        <f t="shared" si="35"/>
        <v>Outlier</v>
      </c>
    </row>
    <row r="334" spans="1:23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  <c r="Q334" t="str">
        <f>IF(COUNTIF($A$2:A334,A334)&gt;1,"Duplicate","Unique")</f>
        <v>Unique</v>
      </c>
      <c r="R334" t="str">
        <f t="shared" si="30"/>
        <v>Valid</v>
      </c>
      <c r="S334" t="str">
        <f t="shared" si="31"/>
        <v>Valid</v>
      </c>
      <c r="T334" t="str">
        <f t="shared" si="32"/>
        <v>Valid</v>
      </c>
      <c r="U334" t="str">
        <f t="shared" si="33"/>
        <v>Valid</v>
      </c>
      <c r="V334" t="str">
        <f t="shared" si="34"/>
        <v>Valid</v>
      </c>
      <c r="W334" t="str">
        <f t="shared" si="35"/>
        <v>Outlier</v>
      </c>
    </row>
    <row r="335" spans="1:23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  <c r="Q335" t="str">
        <f>IF(COUNTIF($A$2:A335,A335)&gt;1,"Duplicate","Unique")</f>
        <v>Unique</v>
      </c>
      <c r="R335" t="str">
        <f t="shared" si="30"/>
        <v>Valid</v>
      </c>
      <c r="S335" t="str">
        <f t="shared" si="31"/>
        <v>Valid</v>
      </c>
      <c r="T335" t="str">
        <f t="shared" si="32"/>
        <v>Valid</v>
      </c>
      <c r="U335" t="str">
        <f t="shared" si="33"/>
        <v>Valid</v>
      </c>
      <c r="V335" t="str">
        <f t="shared" si="34"/>
        <v>Valid</v>
      </c>
      <c r="W335" t="str">
        <f t="shared" si="35"/>
        <v>Outlier</v>
      </c>
    </row>
    <row r="336" spans="1:23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  <c r="Q336" t="str">
        <f>IF(COUNTIF($A$2:A336,A336)&gt;1,"Duplicate","Unique")</f>
        <v>Unique</v>
      </c>
      <c r="R336" t="str">
        <f t="shared" si="30"/>
        <v>Valid</v>
      </c>
      <c r="S336" t="str">
        <f t="shared" si="31"/>
        <v>Valid</v>
      </c>
      <c r="T336" t="str">
        <f t="shared" si="32"/>
        <v>Valid</v>
      </c>
      <c r="U336" t="str">
        <f t="shared" si="33"/>
        <v>Valid</v>
      </c>
      <c r="V336" t="str">
        <f t="shared" si="34"/>
        <v>Valid</v>
      </c>
      <c r="W336" t="str">
        <f t="shared" si="35"/>
        <v>Outlier</v>
      </c>
    </row>
    <row r="337" spans="1:23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  <c r="Q337" t="str">
        <f>IF(COUNTIF($A$2:A337,A337)&gt;1,"Duplicate","Unique")</f>
        <v>Unique</v>
      </c>
      <c r="R337" t="str">
        <f t="shared" si="30"/>
        <v>Valid</v>
      </c>
      <c r="S337" t="str">
        <f t="shared" si="31"/>
        <v>Valid</v>
      </c>
      <c r="T337" t="str">
        <f t="shared" si="32"/>
        <v>Valid</v>
      </c>
      <c r="U337" t="str">
        <f t="shared" si="33"/>
        <v>Valid</v>
      </c>
      <c r="V337" t="str">
        <f t="shared" si="34"/>
        <v>Valid</v>
      </c>
      <c r="W337" t="str">
        <f t="shared" si="35"/>
        <v>Outlier</v>
      </c>
    </row>
    <row r="338" spans="1:23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  <c r="Q338" t="str">
        <f>IF(COUNTIF($A$2:A338,A338)&gt;1,"Duplicate","Unique")</f>
        <v>Unique</v>
      </c>
      <c r="R338" t="str">
        <f t="shared" si="30"/>
        <v>Valid</v>
      </c>
      <c r="S338" t="str">
        <f t="shared" si="31"/>
        <v>Valid</v>
      </c>
      <c r="T338" t="str">
        <f t="shared" si="32"/>
        <v>Valid</v>
      </c>
      <c r="U338" t="str">
        <f t="shared" si="33"/>
        <v>Valid</v>
      </c>
      <c r="V338" t="str">
        <f t="shared" si="34"/>
        <v>Valid</v>
      </c>
      <c r="W338" t="str">
        <f t="shared" si="35"/>
        <v>Outlier</v>
      </c>
    </row>
    <row r="339" spans="1:23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  <c r="Q339" t="str">
        <f>IF(COUNTIF($A$2:A339,A339)&gt;1,"Duplicate","Unique")</f>
        <v>Unique</v>
      </c>
      <c r="R339" t="str">
        <f t="shared" si="30"/>
        <v>Valid</v>
      </c>
      <c r="S339" t="str">
        <f t="shared" si="31"/>
        <v>Valid</v>
      </c>
      <c r="T339" t="str">
        <f t="shared" si="32"/>
        <v>Valid</v>
      </c>
      <c r="U339" t="str">
        <f t="shared" si="33"/>
        <v>Valid</v>
      </c>
      <c r="V339" t="str">
        <f t="shared" si="34"/>
        <v>Valid</v>
      </c>
      <c r="W339" t="str">
        <f t="shared" si="35"/>
        <v>Outlier</v>
      </c>
    </row>
    <row r="340" spans="1:23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  <c r="Q340" t="str">
        <f>IF(COUNTIF($A$2:A340,A340)&gt;1,"Duplicate","Unique")</f>
        <v>Unique</v>
      </c>
      <c r="R340" t="str">
        <f t="shared" si="30"/>
        <v>Valid</v>
      </c>
      <c r="S340" t="str">
        <f t="shared" si="31"/>
        <v>Valid</v>
      </c>
      <c r="T340" t="str">
        <f t="shared" si="32"/>
        <v>Valid</v>
      </c>
      <c r="U340" t="str">
        <f t="shared" si="33"/>
        <v>Valid</v>
      </c>
      <c r="V340" t="str">
        <f t="shared" si="34"/>
        <v>Valid</v>
      </c>
      <c r="W340" t="str">
        <f t="shared" si="35"/>
        <v>Outlier</v>
      </c>
    </row>
    <row r="341" spans="1:23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  <c r="Q341" t="str">
        <f>IF(COUNTIF($A$2:A341,A341)&gt;1,"Duplicate","Unique")</f>
        <v>Unique</v>
      </c>
      <c r="R341" t="str">
        <f t="shared" si="30"/>
        <v>Valid</v>
      </c>
      <c r="S341" t="str">
        <f t="shared" si="31"/>
        <v>Valid</v>
      </c>
      <c r="T341" t="str">
        <f t="shared" si="32"/>
        <v>Valid</v>
      </c>
      <c r="U341" t="str">
        <f t="shared" si="33"/>
        <v>Valid</v>
      </c>
      <c r="V341" t="str">
        <f t="shared" si="34"/>
        <v>Valid</v>
      </c>
      <c r="W341" t="str">
        <f t="shared" si="35"/>
        <v>Outlier</v>
      </c>
    </row>
    <row r="342" spans="1:23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  <c r="Q342" t="str">
        <f>IF(COUNTIF($A$2:A342,A342)&gt;1,"Duplicate","Unique")</f>
        <v>Unique</v>
      </c>
      <c r="R342" t="str">
        <f t="shared" si="30"/>
        <v>Valid</v>
      </c>
      <c r="S342" t="str">
        <f t="shared" si="31"/>
        <v>Valid</v>
      </c>
      <c r="T342" t="str">
        <f t="shared" si="32"/>
        <v>Valid</v>
      </c>
      <c r="U342" t="str">
        <f t="shared" si="33"/>
        <v>Valid</v>
      </c>
      <c r="V342" t="str">
        <f t="shared" si="34"/>
        <v>Valid</v>
      </c>
      <c r="W342" t="str">
        <f t="shared" si="35"/>
        <v>Outlier</v>
      </c>
    </row>
    <row r="343" spans="1:23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  <c r="Q343" t="str">
        <f>IF(COUNTIF($A$2:A343,A343)&gt;1,"Duplicate","Unique")</f>
        <v>Unique</v>
      </c>
      <c r="R343" t="str">
        <f t="shared" si="30"/>
        <v>Valid</v>
      </c>
      <c r="S343" t="str">
        <f t="shared" si="31"/>
        <v>Valid</v>
      </c>
      <c r="T343" t="str">
        <f t="shared" si="32"/>
        <v>Valid</v>
      </c>
      <c r="U343" t="str">
        <f t="shared" si="33"/>
        <v>Valid</v>
      </c>
      <c r="V343" t="str">
        <f t="shared" si="34"/>
        <v>Valid</v>
      </c>
      <c r="W343" t="str">
        <f t="shared" si="35"/>
        <v>Outlier</v>
      </c>
    </row>
    <row r="344" spans="1:23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  <c r="Q344" t="str">
        <f>IF(COUNTIF($A$2:A344,A344)&gt;1,"Duplicate","Unique")</f>
        <v>Unique</v>
      </c>
      <c r="R344" t="str">
        <f t="shared" si="30"/>
        <v>Valid</v>
      </c>
      <c r="S344" t="str">
        <f t="shared" si="31"/>
        <v>Valid</v>
      </c>
      <c r="T344" t="str">
        <f t="shared" si="32"/>
        <v>Valid</v>
      </c>
      <c r="U344" t="str">
        <f t="shared" si="33"/>
        <v>Valid</v>
      </c>
      <c r="V344" t="str">
        <f t="shared" si="34"/>
        <v>Valid</v>
      </c>
      <c r="W344" t="str">
        <f t="shared" si="35"/>
        <v>Outlier</v>
      </c>
    </row>
    <row r="345" spans="1:23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  <c r="Q345" t="str">
        <f>IF(COUNTIF($A$2:A345,A345)&gt;1,"Duplicate","Unique")</f>
        <v>Unique</v>
      </c>
      <c r="R345" t="str">
        <f t="shared" si="30"/>
        <v>Valid</v>
      </c>
      <c r="S345" t="str">
        <f t="shared" si="31"/>
        <v>Valid</v>
      </c>
      <c r="T345" t="str">
        <f t="shared" si="32"/>
        <v>Valid</v>
      </c>
      <c r="U345" t="str">
        <f t="shared" si="33"/>
        <v>Valid</v>
      </c>
      <c r="V345" t="str">
        <f t="shared" si="34"/>
        <v>Valid</v>
      </c>
      <c r="W345" t="str">
        <f t="shared" si="35"/>
        <v>Outlier</v>
      </c>
    </row>
    <row r="346" spans="1:23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  <c r="Q346" t="str">
        <f>IF(COUNTIF($A$2:A346,A346)&gt;1,"Duplicate","Unique")</f>
        <v>Unique</v>
      </c>
      <c r="R346" t="str">
        <f t="shared" si="30"/>
        <v>Valid</v>
      </c>
      <c r="S346" t="str">
        <f t="shared" si="31"/>
        <v>Valid</v>
      </c>
      <c r="T346" t="str">
        <f t="shared" si="32"/>
        <v>Valid</v>
      </c>
      <c r="U346" t="str">
        <f t="shared" si="33"/>
        <v>Valid</v>
      </c>
      <c r="V346" t="str">
        <f t="shared" si="34"/>
        <v>Valid</v>
      </c>
      <c r="W346" t="str">
        <f t="shared" si="35"/>
        <v>Outlier</v>
      </c>
    </row>
    <row r="347" spans="1:23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  <c r="Q347" t="str">
        <f>IF(COUNTIF($A$2:A347,A347)&gt;1,"Duplicate","Unique")</f>
        <v>Unique</v>
      </c>
      <c r="R347" t="str">
        <f t="shared" si="30"/>
        <v>Valid</v>
      </c>
      <c r="S347" t="str">
        <f t="shared" si="31"/>
        <v>Valid</v>
      </c>
      <c r="T347" t="str">
        <f t="shared" si="32"/>
        <v>Valid</v>
      </c>
      <c r="U347" t="str">
        <f t="shared" si="33"/>
        <v>Valid</v>
      </c>
      <c r="V347" t="str">
        <f t="shared" si="34"/>
        <v>Valid</v>
      </c>
      <c r="W347" t="str">
        <f t="shared" si="35"/>
        <v>Outlier</v>
      </c>
    </row>
    <row r="348" spans="1:23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  <c r="Q348" t="str">
        <f>IF(COUNTIF($A$2:A348,A348)&gt;1,"Duplicate","Unique")</f>
        <v>Unique</v>
      </c>
      <c r="R348" t="str">
        <f t="shared" si="30"/>
        <v>Valid</v>
      </c>
      <c r="S348" t="str">
        <f t="shared" si="31"/>
        <v>Valid</v>
      </c>
      <c r="T348" t="str">
        <f t="shared" si="32"/>
        <v>Valid</v>
      </c>
      <c r="U348" t="str">
        <f t="shared" si="33"/>
        <v>Valid</v>
      </c>
      <c r="V348" t="str">
        <f t="shared" si="34"/>
        <v>Valid</v>
      </c>
      <c r="W348" t="str">
        <f t="shared" si="35"/>
        <v>Outlier</v>
      </c>
    </row>
    <row r="349" spans="1:23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  <c r="Q349" t="str">
        <f>IF(COUNTIF($A$2:A349,A349)&gt;1,"Duplicate","Unique")</f>
        <v>Unique</v>
      </c>
      <c r="R349" t="str">
        <f t="shared" si="30"/>
        <v>Valid</v>
      </c>
      <c r="S349" t="str">
        <f t="shared" si="31"/>
        <v>Valid</v>
      </c>
      <c r="T349" t="str">
        <f t="shared" si="32"/>
        <v>Valid</v>
      </c>
      <c r="U349" t="str">
        <f t="shared" si="33"/>
        <v>Valid</v>
      </c>
      <c r="V349" t="str">
        <f t="shared" si="34"/>
        <v>Valid</v>
      </c>
      <c r="W349" t="str">
        <f t="shared" si="35"/>
        <v>Outlier</v>
      </c>
    </row>
    <row r="350" spans="1:23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  <c r="Q350" t="str">
        <f>IF(COUNTIF($A$2:A350,A350)&gt;1,"Duplicate","Unique")</f>
        <v>Unique</v>
      </c>
      <c r="R350" t="str">
        <f t="shared" si="30"/>
        <v>Valid</v>
      </c>
      <c r="S350" t="str">
        <f t="shared" si="31"/>
        <v>Valid</v>
      </c>
      <c r="T350" t="str">
        <f t="shared" si="32"/>
        <v>Valid</v>
      </c>
      <c r="U350" t="str">
        <f t="shared" si="33"/>
        <v>Valid</v>
      </c>
      <c r="V350" t="str">
        <f t="shared" si="34"/>
        <v>Valid</v>
      </c>
      <c r="W350" t="str">
        <f t="shared" si="35"/>
        <v>Outlier</v>
      </c>
    </row>
    <row r="351" spans="1:23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  <c r="Q351" t="str">
        <f>IF(COUNTIF($A$2:A351,A351)&gt;1,"Duplicate","Unique")</f>
        <v>Unique</v>
      </c>
      <c r="R351" t="str">
        <f t="shared" si="30"/>
        <v>Valid</v>
      </c>
      <c r="S351" t="str">
        <f t="shared" si="31"/>
        <v>Valid</v>
      </c>
      <c r="T351" t="str">
        <f t="shared" si="32"/>
        <v>Valid</v>
      </c>
      <c r="U351" t="str">
        <f t="shared" si="33"/>
        <v>Valid</v>
      </c>
      <c r="V351" t="str">
        <f t="shared" si="34"/>
        <v>Valid</v>
      </c>
      <c r="W351" t="str">
        <f t="shared" si="35"/>
        <v>Outlier</v>
      </c>
    </row>
    <row r="352" spans="1:23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  <c r="Q352" t="str">
        <f>IF(COUNTIF($A$2:A352,A352)&gt;1,"Duplicate","Unique")</f>
        <v>Unique</v>
      </c>
      <c r="R352" t="str">
        <f t="shared" si="30"/>
        <v>Valid</v>
      </c>
      <c r="S352" t="str">
        <f t="shared" si="31"/>
        <v>Valid</v>
      </c>
      <c r="T352" t="str">
        <f t="shared" si="32"/>
        <v>Valid</v>
      </c>
      <c r="U352" t="str">
        <f t="shared" si="33"/>
        <v>Valid</v>
      </c>
      <c r="V352" t="str">
        <f t="shared" si="34"/>
        <v>Valid</v>
      </c>
      <c r="W352" t="str">
        <f t="shared" si="35"/>
        <v>Outlier</v>
      </c>
    </row>
    <row r="353" spans="1:23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  <c r="Q353" t="str">
        <f>IF(COUNTIF($A$2:A353,A353)&gt;1,"Duplicate","Unique")</f>
        <v>Unique</v>
      </c>
      <c r="R353" t="str">
        <f t="shared" si="30"/>
        <v>Valid</v>
      </c>
      <c r="S353" t="str">
        <f t="shared" si="31"/>
        <v>Valid</v>
      </c>
      <c r="T353" t="str">
        <f t="shared" si="32"/>
        <v>Valid</v>
      </c>
      <c r="U353" t="str">
        <f t="shared" si="33"/>
        <v>Valid</v>
      </c>
      <c r="V353" t="str">
        <f t="shared" si="34"/>
        <v>Valid</v>
      </c>
      <c r="W353" t="str">
        <f t="shared" si="35"/>
        <v>Outlier</v>
      </c>
    </row>
    <row r="354" spans="1:23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  <c r="Q354" t="str">
        <f>IF(COUNTIF($A$2:A354,A354)&gt;1,"Duplicate","Unique")</f>
        <v>Unique</v>
      </c>
      <c r="R354" t="str">
        <f t="shared" si="30"/>
        <v>Valid</v>
      </c>
      <c r="S354" t="str">
        <f t="shared" si="31"/>
        <v>Valid</v>
      </c>
      <c r="T354" t="str">
        <f t="shared" si="32"/>
        <v>Valid</v>
      </c>
      <c r="U354" t="str">
        <f t="shared" si="33"/>
        <v>Valid</v>
      </c>
      <c r="V354" t="str">
        <f t="shared" si="34"/>
        <v>Valid</v>
      </c>
      <c r="W354" t="str">
        <f t="shared" si="35"/>
        <v>Outlier</v>
      </c>
    </row>
    <row r="355" spans="1:23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  <c r="Q355" t="str">
        <f>IF(COUNTIF($A$2:A355,A355)&gt;1,"Duplicate","Unique")</f>
        <v>Unique</v>
      </c>
      <c r="R355" t="str">
        <f t="shared" si="30"/>
        <v>Valid</v>
      </c>
      <c r="S355" t="str">
        <f t="shared" si="31"/>
        <v>Valid</v>
      </c>
      <c r="T355" t="str">
        <f t="shared" si="32"/>
        <v>Valid</v>
      </c>
      <c r="U355" t="str">
        <f t="shared" si="33"/>
        <v>Valid</v>
      </c>
      <c r="V355" t="str">
        <f t="shared" si="34"/>
        <v>Valid</v>
      </c>
      <c r="W355" t="str">
        <f t="shared" si="35"/>
        <v>Outlier</v>
      </c>
    </row>
    <row r="356" spans="1:23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  <c r="Q356" t="str">
        <f>IF(COUNTIF($A$2:A356,A356)&gt;1,"Duplicate","Unique")</f>
        <v>Unique</v>
      </c>
      <c r="R356" t="str">
        <f t="shared" si="30"/>
        <v>Valid</v>
      </c>
      <c r="S356" t="str">
        <f t="shared" si="31"/>
        <v>Valid</v>
      </c>
      <c r="T356" t="str">
        <f t="shared" si="32"/>
        <v>Valid</v>
      </c>
      <c r="U356" t="str">
        <f t="shared" si="33"/>
        <v>Valid</v>
      </c>
      <c r="V356" t="str">
        <f t="shared" si="34"/>
        <v>Valid</v>
      </c>
      <c r="W356" t="str">
        <f t="shared" si="35"/>
        <v>Outlier</v>
      </c>
    </row>
    <row r="357" spans="1:23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  <c r="Q357" t="str">
        <f>IF(COUNTIF($A$2:A357,A357)&gt;1,"Duplicate","Unique")</f>
        <v>Unique</v>
      </c>
      <c r="R357" t="str">
        <f t="shared" si="30"/>
        <v>Valid</v>
      </c>
      <c r="S357" t="str">
        <f t="shared" si="31"/>
        <v>Valid</v>
      </c>
      <c r="T357" t="str">
        <f t="shared" si="32"/>
        <v>Valid</v>
      </c>
      <c r="U357" t="str">
        <f t="shared" si="33"/>
        <v>Valid</v>
      </c>
      <c r="V357" t="str">
        <f t="shared" si="34"/>
        <v>Valid</v>
      </c>
      <c r="W357" t="str">
        <f t="shared" si="35"/>
        <v>Outlier</v>
      </c>
    </row>
    <row r="358" spans="1:23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  <c r="Q358" t="str">
        <f>IF(COUNTIF($A$2:A358,A358)&gt;1,"Duplicate","Unique")</f>
        <v>Unique</v>
      </c>
      <c r="R358" t="str">
        <f t="shared" si="30"/>
        <v>Valid</v>
      </c>
      <c r="S358" t="str">
        <f t="shared" si="31"/>
        <v>Valid</v>
      </c>
      <c r="T358" t="str">
        <f t="shared" si="32"/>
        <v>Valid</v>
      </c>
      <c r="U358" t="str">
        <f t="shared" si="33"/>
        <v>Valid</v>
      </c>
      <c r="V358" t="str">
        <f t="shared" si="34"/>
        <v>Valid</v>
      </c>
      <c r="W358" t="str">
        <f t="shared" si="35"/>
        <v>Outlier</v>
      </c>
    </row>
    <row r="359" spans="1:23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  <c r="Q359" t="str">
        <f>IF(COUNTIF($A$2:A359,A359)&gt;1,"Duplicate","Unique")</f>
        <v>Unique</v>
      </c>
      <c r="R359" t="str">
        <f t="shared" si="30"/>
        <v>Valid</v>
      </c>
      <c r="S359" t="str">
        <f t="shared" si="31"/>
        <v>Valid</v>
      </c>
      <c r="T359" t="str">
        <f t="shared" si="32"/>
        <v>Valid</v>
      </c>
      <c r="U359" t="str">
        <f t="shared" si="33"/>
        <v>Valid</v>
      </c>
      <c r="V359" t="str">
        <f t="shared" si="34"/>
        <v>Valid</v>
      </c>
      <c r="W359" t="str">
        <f t="shared" si="35"/>
        <v>Outlier</v>
      </c>
    </row>
    <row r="360" spans="1:23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  <c r="Q360" t="str">
        <f>IF(COUNTIF($A$2:A360,A360)&gt;1,"Duplicate","Unique")</f>
        <v>Unique</v>
      </c>
      <c r="R360" t="str">
        <f t="shared" si="30"/>
        <v>Valid</v>
      </c>
      <c r="S360" t="str">
        <f t="shared" si="31"/>
        <v>Valid</v>
      </c>
      <c r="T360" t="str">
        <f t="shared" si="32"/>
        <v>Valid</v>
      </c>
      <c r="U360" t="str">
        <f t="shared" si="33"/>
        <v>Valid</v>
      </c>
      <c r="V360" t="str">
        <f t="shared" si="34"/>
        <v>Valid</v>
      </c>
      <c r="W360" t="str">
        <f t="shared" si="35"/>
        <v>Outlier</v>
      </c>
    </row>
    <row r="361" spans="1:23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  <c r="Q361" t="str">
        <f>IF(COUNTIF($A$2:A361,A361)&gt;1,"Duplicate","Unique")</f>
        <v>Unique</v>
      </c>
      <c r="R361" t="str">
        <f t="shared" si="30"/>
        <v>Valid</v>
      </c>
      <c r="S361" t="str">
        <f t="shared" si="31"/>
        <v>Valid</v>
      </c>
      <c r="T361" t="str">
        <f t="shared" si="32"/>
        <v>Valid</v>
      </c>
      <c r="U361" t="str">
        <f t="shared" si="33"/>
        <v>Valid</v>
      </c>
      <c r="V361" t="str">
        <f t="shared" si="34"/>
        <v>Valid</v>
      </c>
      <c r="W361" t="str">
        <f t="shared" si="35"/>
        <v>Outlier</v>
      </c>
    </row>
    <row r="362" spans="1:23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  <c r="Q362" t="str">
        <f>IF(COUNTIF($A$2:A362,A362)&gt;1,"Duplicate","Unique")</f>
        <v>Unique</v>
      </c>
      <c r="R362" t="str">
        <f t="shared" si="30"/>
        <v>Valid</v>
      </c>
      <c r="S362" t="str">
        <f t="shared" si="31"/>
        <v>Valid</v>
      </c>
      <c r="T362" t="str">
        <f t="shared" si="32"/>
        <v>Valid</v>
      </c>
      <c r="U362" t="str">
        <f t="shared" si="33"/>
        <v>Valid</v>
      </c>
      <c r="V362" t="str">
        <f t="shared" si="34"/>
        <v>Valid</v>
      </c>
      <c r="W362" t="str">
        <f t="shared" si="35"/>
        <v>Outlier</v>
      </c>
    </row>
    <row r="363" spans="1:23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  <c r="Q363" t="str">
        <f>IF(COUNTIF($A$2:A363,A363)&gt;1,"Duplicate","Unique")</f>
        <v>Unique</v>
      </c>
      <c r="R363" t="str">
        <f t="shared" si="30"/>
        <v>Valid</v>
      </c>
      <c r="S363" t="str">
        <f t="shared" si="31"/>
        <v>Valid</v>
      </c>
      <c r="T363" t="str">
        <f t="shared" si="32"/>
        <v>Valid</v>
      </c>
      <c r="U363" t="str">
        <f t="shared" si="33"/>
        <v>Valid</v>
      </c>
      <c r="V363" t="str">
        <f t="shared" si="34"/>
        <v>Valid</v>
      </c>
      <c r="W363" t="str">
        <f t="shared" si="35"/>
        <v>Outlier</v>
      </c>
    </row>
    <row r="364" spans="1:23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  <c r="Q364" t="str">
        <f>IF(COUNTIF($A$2:A364,A364)&gt;1,"Duplicate","Unique")</f>
        <v>Unique</v>
      </c>
      <c r="R364" t="str">
        <f t="shared" si="30"/>
        <v>Valid</v>
      </c>
      <c r="S364" t="str">
        <f t="shared" si="31"/>
        <v>Valid</v>
      </c>
      <c r="T364" t="str">
        <f t="shared" si="32"/>
        <v>Valid</v>
      </c>
      <c r="U364" t="str">
        <f t="shared" si="33"/>
        <v>Valid</v>
      </c>
      <c r="V364" t="str">
        <f t="shared" si="34"/>
        <v>Valid</v>
      </c>
      <c r="W364" t="str">
        <f t="shared" si="35"/>
        <v>Outlier</v>
      </c>
    </row>
    <row r="365" spans="1:23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  <c r="Q365" t="str">
        <f>IF(COUNTIF($A$2:A365,A365)&gt;1,"Duplicate","Unique")</f>
        <v>Unique</v>
      </c>
      <c r="R365" t="str">
        <f t="shared" si="30"/>
        <v>Valid</v>
      </c>
      <c r="S365" t="str">
        <f t="shared" si="31"/>
        <v>Valid</v>
      </c>
      <c r="T365" t="str">
        <f t="shared" si="32"/>
        <v>Valid</v>
      </c>
      <c r="U365" t="str">
        <f t="shared" si="33"/>
        <v>Valid</v>
      </c>
      <c r="V365" t="str">
        <f t="shared" si="34"/>
        <v>Valid</v>
      </c>
      <c r="W365" t="str">
        <f t="shared" si="35"/>
        <v>Outlier</v>
      </c>
    </row>
    <row r="366" spans="1:23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  <c r="Q366" t="str">
        <f>IF(COUNTIF($A$2:A366,A366)&gt;1,"Duplicate","Unique")</f>
        <v>Unique</v>
      </c>
      <c r="R366" t="str">
        <f t="shared" si="30"/>
        <v>Valid</v>
      </c>
      <c r="S366" t="str">
        <f t="shared" si="31"/>
        <v>Valid</v>
      </c>
      <c r="T366" t="str">
        <f t="shared" si="32"/>
        <v>Valid</v>
      </c>
      <c r="U366" t="str">
        <f t="shared" si="33"/>
        <v>Valid</v>
      </c>
      <c r="V366" t="str">
        <f t="shared" si="34"/>
        <v>Valid</v>
      </c>
      <c r="W366" t="str">
        <f t="shared" si="35"/>
        <v>Outlier</v>
      </c>
    </row>
    <row r="367" spans="1:23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  <c r="Q367" t="str">
        <f>IF(COUNTIF($A$2:A367,A367)&gt;1,"Duplicate","Unique")</f>
        <v>Unique</v>
      </c>
      <c r="R367" t="str">
        <f t="shared" si="30"/>
        <v>Valid</v>
      </c>
      <c r="S367" t="str">
        <f t="shared" si="31"/>
        <v>Valid</v>
      </c>
      <c r="T367" t="str">
        <f t="shared" si="32"/>
        <v>Valid</v>
      </c>
      <c r="U367" t="str">
        <f t="shared" si="33"/>
        <v>Valid</v>
      </c>
      <c r="V367" t="str">
        <f t="shared" si="34"/>
        <v>Valid</v>
      </c>
      <c r="W367" t="str">
        <f t="shared" si="35"/>
        <v>Outlier</v>
      </c>
    </row>
    <row r="368" spans="1:23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  <c r="Q368" t="str">
        <f>IF(COUNTIF($A$2:A368,A368)&gt;1,"Duplicate","Unique")</f>
        <v>Unique</v>
      </c>
      <c r="R368" t="str">
        <f t="shared" si="30"/>
        <v>Valid</v>
      </c>
      <c r="S368" t="str">
        <f t="shared" si="31"/>
        <v>Valid</v>
      </c>
      <c r="T368" t="str">
        <f t="shared" si="32"/>
        <v>Valid</v>
      </c>
      <c r="U368" t="str">
        <f t="shared" si="33"/>
        <v>Valid</v>
      </c>
      <c r="V368" t="str">
        <f t="shared" si="34"/>
        <v>Valid</v>
      </c>
      <c r="W368" t="str">
        <f t="shared" si="35"/>
        <v>Outlier</v>
      </c>
    </row>
    <row r="369" spans="1:23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  <c r="Q369" t="str">
        <f>IF(COUNTIF($A$2:A369,A369)&gt;1,"Duplicate","Unique")</f>
        <v>Unique</v>
      </c>
      <c r="R369" t="str">
        <f t="shared" si="30"/>
        <v>Valid</v>
      </c>
      <c r="S369" t="str">
        <f t="shared" si="31"/>
        <v>Valid</v>
      </c>
      <c r="T369" t="str">
        <f t="shared" si="32"/>
        <v>Valid</v>
      </c>
      <c r="U369" t="str">
        <f t="shared" si="33"/>
        <v>Valid</v>
      </c>
      <c r="V369" t="str">
        <f t="shared" si="34"/>
        <v>Valid</v>
      </c>
      <c r="W369" t="str">
        <f t="shared" si="35"/>
        <v>Outlier</v>
      </c>
    </row>
    <row r="370" spans="1:23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  <c r="Q370" t="str">
        <f>IF(COUNTIF($A$2:A370,A370)&gt;1,"Duplicate","Unique")</f>
        <v>Unique</v>
      </c>
      <c r="R370" t="str">
        <f t="shared" si="30"/>
        <v>Valid</v>
      </c>
      <c r="S370" t="str">
        <f t="shared" si="31"/>
        <v>Valid</v>
      </c>
      <c r="T370" t="str">
        <f t="shared" si="32"/>
        <v>Valid</v>
      </c>
      <c r="U370" t="str">
        <f t="shared" si="33"/>
        <v>Valid</v>
      </c>
      <c r="V370" t="str">
        <f t="shared" si="34"/>
        <v>Valid</v>
      </c>
      <c r="W370" t="str">
        <f t="shared" si="35"/>
        <v>Outlier</v>
      </c>
    </row>
    <row r="371" spans="1:23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  <c r="Q371" t="str">
        <f>IF(COUNTIF($A$2:A371,A371)&gt;1,"Duplicate","Unique")</f>
        <v>Unique</v>
      </c>
      <c r="R371" t="str">
        <f t="shared" si="30"/>
        <v>Valid</v>
      </c>
      <c r="S371" t="str">
        <f t="shared" si="31"/>
        <v>Valid</v>
      </c>
      <c r="T371" t="str">
        <f t="shared" si="32"/>
        <v>Valid</v>
      </c>
      <c r="U371" t="str">
        <f t="shared" si="33"/>
        <v>Valid</v>
      </c>
      <c r="V371" t="str">
        <f t="shared" si="34"/>
        <v>Valid</v>
      </c>
      <c r="W371" t="str">
        <f t="shared" si="35"/>
        <v>Outlier</v>
      </c>
    </row>
    <row r="372" spans="1:23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  <c r="Q372" t="str">
        <f>IF(COUNTIF($A$2:A372,A372)&gt;1,"Duplicate","Unique")</f>
        <v>Unique</v>
      </c>
      <c r="R372" t="str">
        <f t="shared" si="30"/>
        <v>Valid</v>
      </c>
      <c r="S372" t="str">
        <f t="shared" si="31"/>
        <v>Valid</v>
      </c>
      <c r="T372" t="str">
        <f t="shared" si="32"/>
        <v>Valid</v>
      </c>
      <c r="U372" t="str">
        <f t="shared" si="33"/>
        <v>Valid</v>
      </c>
      <c r="V372" t="str">
        <f t="shared" si="34"/>
        <v>Valid</v>
      </c>
      <c r="W372" t="str">
        <f t="shared" si="35"/>
        <v>Outlier</v>
      </c>
    </row>
    <row r="373" spans="1:23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  <c r="Q373" t="str">
        <f>IF(COUNTIF($A$2:A373,A373)&gt;1,"Duplicate","Unique")</f>
        <v>Unique</v>
      </c>
      <c r="R373" t="str">
        <f t="shared" si="30"/>
        <v>Valid</v>
      </c>
      <c r="S373" t="str">
        <f t="shared" si="31"/>
        <v>Valid</v>
      </c>
      <c r="T373" t="str">
        <f t="shared" si="32"/>
        <v>Valid</v>
      </c>
      <c r="U373" t="str">
        <f t="shared" si="33"/>
        <v>Valid</v>
      </c>
      <c r="V373" t="str">
        <f t="shared" si="34"/>
        <v>Valid</v>
      </c>
      <c r="W373" t="str">
        <f t="shared" si="35"/>
        <v>Outlier</v>
      </c>
    </row>
    <row r="374" spans="1:23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  <c r="Q374" t="str">
        <f>IF(COUNTIF($A$2:A374,A374)&gt;1,"Duplicate","Unique")</f>
        <v>Unique</v>
      </c>
      <c r="R374" t="str">
        <f t="shared" si="30"/>
        <v>Valid</v>
      </c>
      <c r="S374" t="str">
        <f t="shared" si="31"/>
        <v>Valid</v>
      </c>
      <c r="T374" t="str">
        <f t="shared" si="32"/>
        <v>Valid</v>
      </c>
      <c r="U374" t="str">
        <f t="shared" si="33"/>
        <v>Valid</v>
      </c>
      <c r="V374" t="str">
        <f t="shared" si="34"/>
        <v>Valid</v>
      </c>
      <c r="W374" t="str">
        <f t="shared" si="35"/>
        <v>Outlier</v>
      </c>
    </row>
    <row r="375" spans="1:23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  <c r="Q375" t="str">
        <f>IF(COUNTIF($A$2:A375,A375)&gt;1,"Duplicate","Unique")</f>
        <v>Unique</v>
      </c>
      <c r="R375" t="str">
        <f t="shared" si="30"/>
        <v>Valid</v>
      </c>
      <c r="S375" t="str">
        <f t="shared" si="31"/>
        <v>Valid</v>
      </c>
      <c r="T375" t="str">
        <f t="shared" si="32"/>
        <v>Valid</v>
      </c>
      <c r="U375" t="str">
        <f t="shared" si="33"/>
        <v>Valid</v>
      </c>
      <c r="V375" t="str">
        <f t="shared" si="34"/>
        <v>Valid</v>
      </c>
      <c r="W375" t="str">
        <f t="shared" si="35"/>
        <v>Outlier</v>
      </c>
    </row>
    <row r="376" spans="1:23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  <c r="Q376" t="str">
        <f>IF(COUNTIF($A$2:A376,A376)&gt;1,"Duplicate","Unique")</f>
        <v>Unique</v>
      </c>
      <c r="R376" t="str">
        <f t="shared" si="30"/>
        <v>Valid</v>
      </c>
      <c r="S376" t="str">
        <f t="shared" si="31"/>
        <v>Valid</v>
      </c>
      <c r="T376" t="str">
        <f t="shared" si="32"/>
        <v>Valid</v>
      </c>
      <c r="U376" t="str">
        <f t="shared" si="33"/>
        <v>Valid</v>
      </c>
      <c r="V376" t="str">
        <f t="shared" si="34"/>
        <v>Valid</v>
      </c>
      <c r="W376" t="str">
        <f t="shared" si="35"/>
        <v>Outlier</v>
      </c>
    </row>
    <row r="377" spans="1:23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  <c r="Q377" t="str">
        <f>IF(COUNTIF($A$2:A377,A377)&gt;1,"Duplicate","Unique")</f>
        <v>Unique</v>
      </c>
      <c r="R377" t="str">
        <f t="shared" si="30"/>
        <v>Valid</v>
      </c>
      <c r="S377" t="str">
        <f t="shared" si="31"/>
        <v>Valid</v>
      </c>
      <c r="T377" t="str">
        <f t="shared" si="32"/>
        <v>Valid</v>
      </c>
      <c r="U377" t="str">
        <f t="shared" si="33"/>
        <v>Valid</v>
      </c>
      <c r="V377" t="str">
        <f t="shared" si="34"/>
        <v>Valid</v>
      </c>
      <c r="W377" t="str">
        <f t="shared" si="35"/>
        <v>Outlier</v>
      </c>
    </row>
    <row r="378" spans="1:23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  <c r="Q378" t="str">
        <f>IF(COUNTIF($A$2:A378,A378)&gt;1,"Duplicate","Unique")</f>
        <v>Unique</v>
      </c>
      <c r="R378" t="str">
        <f t="shared" si="30"/>
        <v>Valid</v>
      </c>
      <c r="S378" t="str">
        <f t="shared" si="31"/>
        <v>Valid</v>
      </c>
      <c r="T378" t="str">
        <f t="shared" si="32"/>
        <v>Valid</v>
      </c>
      <c r="U378" t="str">
        <f t="shared" si="33"/>
        <v>Valid</v>
      </c>
      <c r="V378" t="str">
        <f t="shared" si="34"/>
        <v>Valid</v>
      </c>
      <c r="W378" t="str">
        <f t="shared" si="35"/>
        <v>Outlier</v>
      </c>
    </row>
    <row r="379" spans="1:23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  <c r="Q379" t="str">
        <f>IF(COUNTIF($A$2:A379,A379)&gt;1,"Duplicate","Unique")</f>
        <v>Unique</v>
      </c>
      <c r="R379" t="str">
        <f t="shared" si="30"/>
        <v>Valid</v>
      </c>
      <c r="S379" t="str">
        <f t="shared" si="31"/>
        <v>Valid</v>
      </c>
      <c r="T379" t="str">
        <f t="shared" si="32"/>
        <v>Valid</v>
      </c>
      <c r="U379" t="str">
        <f t="shared" si="33"/>
        <v>Valid</v>
      </c>
      <c r="V379" t="str">
        <f t="shared" si="34"/>
        <v>Valid</v>
      </c>
      <c r="W379" t="str">
        <f t="shared" si="35"/>
        <v>Outlier</v>
      </c>
    </row>
    <row r="380" spans="1:23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  <c r="Q380" t="str">
        <f>IF(COUNTIF($A$2:A380,A380)&gt;1,"Duplicate","Unique")</f>
        <v>Unique</v>
      </c>
      <c r="R380" t="str">
        <f t="shared" si="30"/>
        <v>Valid</v>
      </c>
      <c r="S380" t="str">
        <f t="shared" si="31"/>
        <v>Valid</v>
      </c>
      <c r="T380" t="str">
        <f t="shared" si="32"/>
        <v>Valid</v>
      </c>
      <c r="U380" t="str">
        <f t="shared" si="33"/>
        <v>Valid</v>
      </c>
      <c r="V380" t="str">
        <f t="shared" si="34"/>
        <v>Valid</v>
      </c>
      <c r="W380" t="str">
        <f t="shared" si="35"/>
        <v>Outlier</v>
      </c>
    </row>
    <row r="381" spans="1:23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  <c r="Q381" t="str">
        <f>IF(COUNTIF($A$2:A381,A381)&gt;1,"Duplicate","Unique")</f>
        <v>Unique</v>
      </c>
      <c r="R381" t="str">
        <f t="shared" si="30"/>
        <v>Valid</v>
      </c>
      <c r="S381" t="str">
        <f t="shared" si="31"/>
        <v>Valid</v>
      </c>
      <c r="T381" t="str">
        <f t="shared" si="32"/>
        <v>Valid</v>
      </c>
      <c r="U381" t="str">
        <f t="shared" si="33"/>
        <v>Valid</v>
      </c>
      <c r="V381" t="str">
        <f t="shared" si="34"/>
        <v>Valid</v>
      </c>
      <c r="W381" t="str">
        <f t="shared" si="35"/>
        <v>Outlier</v>
      </c>
    </row>
    <row r="382" spans="1:23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  <c r="Q382" t="str">
        <f>IF(COUNTIF($A$2:A382,A382)&gt;1,"Duplicate","Unique")</f>
        <v>Unique</v>
      </c>
      <c r="R382" t="str">
        <f t="shared" si="30"/>
        <v>Valid</v>
      </c>
      <c r="S382" t="str">
        <f t="shared" si="31"/>
        <v>Valid</v>
      </c>
      <c r="T382" t="str">
        <f t="shared" si="32"/>
        <v>Valid</v>
      </c>
      <c r="U382" t="str">
        <f t="shared" si="33"/>
        <v>Valid</v>
      </c>
      <c r="V382" t="str">
        <f t="shared" si="34"/>
        <v>Valid</v>
      </c>
      <c r="W382" t="str">
        <f t="shared" si="35"/>
        <v>Outlier</v>
      </c>
    </row>
    <row r="383" spans="1:23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  <c r="Q383" t="str">
        <f>IF(COUNTIF($A$2:A383,A383)&gt;1,"Duplicate","Unique")</f>
        <v>Unique</v>
      </c>
      <c r="R383" t="str">
        <f t="shared" si="30"/>
        <v>Valid</v>
      </c>
      <c r="S383" t="str">
        <f t="shared" si="31"/>
        <v>Valid</v>
      </c>
      <c r="T383" t="str">
        <f t="shared" si="32"/>
        <v>Valid</v>
      </c>
      <c r="U383" t="str">
        <f t="shared" si="33"/>
        <v>Valid</v>
      </c>
      <c r="V383" t="str">
        <f t="shared" si="34"/>
        <v>Valid</v>
      </c>
      <c r="W383" t="str">
        <f t="shared" si="35"/>
        <v>Outlier</v>
      </c>
    </row>
    <row r="384" spans="1:23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  <c r="Q384" t="str">
        <f>IF(COUNTIF($A$2:A384,A384)&gt;1,"Duplicate","Unique")</f>
        <v>Unique</v>
      </c>
      <c r="R384" t="str">
        <f t="shared" si="30"/>
        <v>Valid</v>
      </c>
      <c r="S384" t="str">
        <f t="shared" si="31"/>
        <v>Valid</v>
      </c>
      <c r="T384" t="str">
        <f t="shared" si="32"/>
        <v>Valid</v>
      </c>
      <c r="U384" t="str">
        <f t="shared" si="33"/>
        <v>Valid</v>
      </c>
      <c r="V384" t="str">
        <f t="shared" si="34"/>
        <v>Valid</v>
      </c>
      <c r="W384" t="str">
        <f t="shared" si="35"/>
        <v>Outlier</v>
      </c>
    </row>
    <row r="385" spans="1:23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  <c r="Q385" t="str">
        <f>IF(COUNTIF($A$2:A385,A385)&gt;1,"Duplicate","Unique")</f>
        <v>Unique</v>
      </c>
      <c r="R385" t="str">
        <f t="shared" si="30"/>
        <v>Valid</v>
      </c>
      <c r="S385" t="str">
        <f t="shared" si="31"/>
        <v>Valid</v>
      </c>
      <c r="T385" t="str">
        <f t="shared" si="32"/>
        <v>Valid</v>
      </c>
      <c r="U385" t="str">
        <f t="shared" si="33"/>
        <v>Valid</v>
      </c>
      <c r="V385" t="str">
        <f t="shared" si="34"/>
        <v>Valid</v>
      </c>
      <c r="W385" t="str">
        <f t="shared" si="35"/>
        <v>Outlier</v>
      </c>
    </row>
    <row r="386" spans="1:23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  <c r="Q386" t="str">
        <f>IF(COUNTIF($A$2:A386,A386)&gt;1,"Duplicate","Unique")</f>
        <v>Unique</v>
      </c>
      <c r="R386" t="str">
        <f t="shared" si="30"/>
        <v>Valid</v>
      </c>
      <c r="S386" t="str">
        <f t="shared" si="31"/>
        <v>Valid</v>
      </c>
      <c r="T386" t="str">
        <f t="shared" si="32"/>
        <v>Valid</v>
      </c>
      <c r="U386" t="str">
        <f t="shared" si="33"/>
        <v>Valid</v>
      </c>
      <c r="V386" t="str">
        <f t="shared" si="34"/>
        <v>Valid</v>
      </c>
      <c r="W386" t="str">
        <f t="shared" si="35"/>
        <v>Outlier</v>
      </c>
    </row>
    <row r="387" spans="1:23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  <c r="Q387" t="str">
        <f>IF(COUNTIF($A$2:A387,A387)&gt;1,"Duplicate","Unique")</f>
        <v>Unique</v>
      </c>
      <c r="R387" t="str">
        <f t="shared" ref="R387:R450" si="36">IF(OR(H387=0,H387=1),"Valid","Invalid")</f>
        <v>Valid</v>
      </c>
      <c r="S387" t="str">
        <f t="shared" ref="S387:S450" si="37">IF(OR(I387=0,I387=1),"Valid","Invalid")</f>
        <v>Valid</v>
      </c>
      <c r="T387" t="str">
        <f t="shared" ref="T387:T450" si="38">IF(OR(J387=0,J387=1),"Valid","Invalid")</f>
        <v>Valid</v>
      </c>
      <c r="U387" t="str">
        <f t="shared" ref="U387:U450" si="39">IF(OR(K387=0,K387=1),"Valid","Invalid")</f>
        <v>Valid</v>
      </c>
      <c r="V387" t="str">
        <f t="shared" ref="V387:V450" si="40">IF(OR(N387=0,N387=1),"Valid","Invalid")</f>
        <v>Valid</v>
      </c>
      <c r="W387" t="str">
        <f t="shared" ref="W387:W450" si="41">IF(OR(L387&lt;$B$23,L387&gt;$B$24),"Outlier","Normal")</f>
        <v>Outlier</v>
      </c>
    </row>
    <row r="388" spans="1:23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  <c r="Q388" t="str">
        <f>IF(COUNTIF($A$2:A388,A388)&gt;1,"Duplicate","Unique")</f>
        <v>Unique</v>
      </c>
      <c r="R388" t="str">
        <f t="shared" si="36"/>
        <v>Valid</v>
      </c>
      <c r="S388" t="str">
        <f t="shared" si="37"/>
        <v>Valid</v>
      </c>
      <c r="T388" t="str">
        <f t="shared" si="38"/>
        <v>Valid</v>
      </c>
      <c r="U388" t="str">
        <f t="shared" si="39"/>
        <v>Valid</v>
      </c>
      <c r="V388" t="str">
        <f t="shared" si="40"/>
        <v>Valid</v>
      </c>
      <c r="W388" t="str">
        <f t="shared" si="41"/>
        <v>Outlier</v>
      </c>
    </row>
    <row r="389" spans="1:23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  <c r="Q389" t="str">
        <f>IF(COUNTIF($A$2:A389,A389)&gt;1,"Duplicate","Unique")</f>
        <v>Unique</v>
      </c>
      <c r="R389" t="str">
        <f t="shared" si="36"/>
        <v>Valid</v>
      </c>
      <c r="S389" t="str">
        <f t="shared" si="37"/>
        <v>Valid</v>
      </c>
      <c r="T389" t="str">
        <f t="shared" si="38"/>
        <v>Valid</v>
      </c>
      <c r="U389" t="str">
        <f t="shared" si="39"/>
        <v>Valid</v>
      </c>
      <c r="V389" t="str">
        <f t="shared" si="40"/>
        <v>Valid</v>
      </c>
      <c r="W389" t="str">
        <f t="shared" si="41"/>
        <v>Outlier</v>
      </c>
    </row>
    <row r="390" spans="1:23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  <c r="Q390" t="str">
        <f>IF(COUNTIF($A$2:A390,A390)&gt;1,"Duplicate","Unique")</f>
        <v>Unique</v>
      </c>
      <c r="R390" t="str">
        <f t="shared" si="36"/>
        <v>Valid</v>
      </c>
      <c r="S390" t="str">
        <f t="shared" si="37"/>
        <v>Valid</v>
      </c>
      <c r="T390" t="str">
        <f t="shared" si="38"/>
        <v>Valid</v>
      </c>
      <c r="U390" t="str">
        <f t="shared" si="39"/>
        <v>Valid</v>
      </c>
      <c r="V390" t="str">
        <f t="shared" si="40"/>
        <v>Valid</v>
      </c>
      <c r="W390" t="str">
        <f t="shared" si="41"/>
        <v>Outlier</v>
      </c>
    </row>
    <row r="391" spans="1:23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  <c r="Q391" t="str">
        <f>IF(COUNTIF($A$2:A391,A391)&gt;1,"Duplicate","Unique")</f>
        <v>Unique</v>
      </c>
      <c r="R391" t="str">
        <f t="shared" si="36"/>
        <v>Valid</v>
      </c>
      <c r="S391" t="str">
        <f t="shared" si="37"/>
        <v>Valid</v>
      </c>
      <c r="T391" t="str">
        <f t="shared" si="38"/>
        <v>Valid</v>
      </c>
      <c r="U391" t="str">
        <f t="shared" si="39"/>
        <v>Valid</v>
      </c>
      <c r="V391" t="str">
        <f t="shared" si="40"/>
        <v>Valid</v>
      </c>
      <c r="W391" t="str">
        <f t="shared" si="41"/>
        <v>Outlier</v>
      </c>
    </row>
    <row r="392" spans="1:23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  <c r="Q392" t="str">
        <f>IF(COUNTIF($A$2:A392,A392)&gt;1,"Duplicate","Unique")</f>
        <v>Unique</v>
      </c>
      <c r="R392" t="str">
        <f t="shared" si="36"/>
        <v>Valid</v>
      </c>
      <c r="S392" t="str">
        <f t="shared" si="37"/>
        <v>Valid</v>
      </c>
      <c r="T392" t="str">
        <f t="shared" si="38"/>
        <v>Valid</v>
      </c>
      <c r="U392" t="str">
        <f t="shared" si="39"/>
        <v>Valid</v>
      </c>
      <c r="V392" t="str">
        <f t="shared" si="40"/>
        <v>Valid</v>
      </c>
      <c r="W392" t="str">
        <f t="shared" si="41"/>
        <v>Outlier</v>
      </c>
    </row>
    <row r="393" spans="1:23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  <c r="Q393" t="str">
        <f>IF(COUNTIF($A$2:A393,A393)&gt;1,"Duplicate","Unique")</f>
        <v>Unique</v>
      </c>
      <c r="R393" t="str">
        <f t="shared" si="36"/>
        <v>Valid</v>
      </c>
      <c r="S393" t="str">
        <f t="shared" si="37"/>
        <v>Valid</v>
      </c>
      <c r="T393" t="str">
        <f t="shared" si="38"/>
        <v>Valid</v>
      </c>
      <c r="U393" t="str">
        <f t="shared" si="39"/>
        <v>Valid</v>
      </c>
      <c r="V393" t="str">
        <f t="shared" si="40"/>
        <v>Valid</v>
      </c>
      <c r="W393" t="str">
        <f t="shared" si="41"/>
        <v>Outlier</v>
      </c>
    </row>
    <row r="394" spans="1:23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  <c r="Q394" t="str">
        <f>IF(COUNTIF($A$2:A394,A394)&gt;1,"Duplicate","Unique")</f>
        <v>Unique</v>
      </c>
      <c r="R394" t="str">
        <f t="shared" si="36"/>
        <v>Valid</v>
      </c>
      <c r="S394" t="str">
        <f t="shared" si="37"/>
        <v>Valid</v>
      </c>
      <c r="T394" t="str">
        <f t="shared" si="38"/>
        <v>Valid</v>
      </c>
      <c r="U394" t="str">
        <f t="shared" si="39"/>
        <v>Valid</v>
      </c>
      <c r="V394" t="str">
        <f t="shared" si="40"/>
        <v>Valid</v>
      </c>
      <c r="W394" t="str">
        <f t="shared" si="41"/>
        <v>Outlier</v>
      </c>
    </row>
    <row r="395" spans="1:23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  <c r="Q395" t="str">
        <f>IF(COUNTIF($A$2:A395,A395)&gt;1,"Duplicate","Unique")</f>
        <v>Unique</v>
      </c>
      <c r="R395" t="str">
        <f t="shared" si="36"/>
        <v>Valid</v>
      </c>
      <c r="S395" t="str">
        <f t="shared" si="37"/>
        <v>Valid</v>
      </c>
      <c r="T395" t="str">
        <f t="shared" si="38"/>
        <v>Valid</v>
      </c>
      <c r="U395" t="str">
        <f t="shared" si="39"/>
        <v>Valid</v>
      </c>
      <c r="V395" t="str">
        <f t="shared" si="40"/>
        <v>Valid</v>
      </c>
      <c r="W395" t="str">
        <f t="shared" si="41"/>
        <v>Outlier</v>
      </c>
    </row>
    <row r="396" spans="1:23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  <c r="Q396" t="str">
        <f>IF(COUNTIF($A$2:A396,A396)&gt;1,"Duplicate","Unique")</f>
        <v>Unique</v>
      </c>
      <c r="R396" t="str">
        <f t="shared" si="36"/>
        <v>Valid</v>
      </c>
      <c r="S396" t="str">
        <f t="shared" si="37"/>
        <v>Valid</v>
      </c>
      <c r="T396" t="str">
        <f t="shared" si="38"/>
        <v>Valid</v>
      </c>
      <c r="U396" t="str">
        <f t="shared" si="39"/>
        <v>Valid</v>
      </c>
      <c r="V396" t="str">
        <f t="shared" si="40"/>
        <v>Valid</v>
      </c>
      <c r="W396" t="str">
        <f t="shared" si="41"/>
        <v>Outlier</v>
      </c>
    </row>
    <row r="397" spans="1:23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  <c r="Q397" t="str">
        <f>IF(COUNTIF($A$2:A397,A397)&gt;1,"Duplicate","Unique")</f>
        <v>Unique</v>
      </c>
      <c r="R397" t="str">
        <f t="shared" si="36"/>
        <v>Valid</v>
      </c>
      <c r="S397" t="str">
        <f t="shared" si="37"/>
        <v>Valid</v>
      </c>
      <c r="T397" t="str">
        <f t="shared" si="38"/>
        <v>Valid</v>
      </c>
      <c r="U397" t="str">
        <f t="shared" si="39"/>
        <v>Valid</v>
      </c>
      <c r="V397" t="str">
        <f t="shared" si="40"/>
        <v>Valid</v>
      </c>
      <c r="W397" t="str">
        <f t="shared" si="41"/>
        <v>Outlier</v>
      </c>
    </row>
    <row r="398" spans="1:23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  <c r="Q398" t="str">
        <f>IF(COUNTIF($A$2:A398,A398)&gt;1,"Duplicate","Unique")</f>
        <v>Unique</v>
      </c>
      <c r="R398" t="str">
        <f t="shared" si="36"/>
        <v>Valid</v>
      </c>
      <c r="S398" t="str">
        <f t="shared" si="37"/>
        <v>Valid</v>
      </c>
      <c r="T398" t="str">
        <f t="shared" si="38"/>
        <v>Valid</v>
      </c>
      <c r="U398" t="str">
        <f t="shared" si="39"/>
        <v>Valid</v>
      </c>
      <c r="V398" t="str">
        <f t="shared" si="40"/>
        <v>Valid</v>
      </c>
      <c r="W398" t="str">
        <f t="shared" si="41"/>
        <v>Outlier</v>
      </c>
    </row>
    <row r="399" spans="1:23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  <c r="Q399" t="str">
        <f>IF(COUNTIF($A$2:A399,A399)&gt;1,"Duplicate","Unique")</f>
        <v>Unique</v>
      </c>
      <c r="R399" t="str">
        <f t="shared" si="36"/>
        <v>Valid</v>
      </c>
      <c r="S399" t="str">
        <f t="shared" si="37"/>
        <v>Valid</v>
      </c>
      <c r="T399" t="str">
        <f t="shared" si="38"/>
        <v>Valid</v>
      </c>
      <c r="U399" t="str">
        <f t="shared" si="39"/>
        <v>Valid</v>
      </c>
      <c r="V399" t="str">
        <f t="shared" si="40"/>
        <v>Valid</v>
      </c>
      <c r="W399" t="str">
        <f t="shared" si="41"/>
        <v>Outlier</v>
      </c>
    </row>
    <row r="400" spans="1:23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  <c r="Q400" t="str">
        <f>IF(COUNTIF($A$2:A400,A400)&gt;1,"Duplicate","Unique")</f>
        <v>Unique</v>
      </c>
      <c r="R400" t="str">
        <f t="shared" si="36"/>
        <v>Valid</v>
      </c>
      <c r="S400" t="str">
        <f t="shared" si="37"/>
        <v>Valid</v>
      </c>
      <c r="T400" t="str">
        <f t="shared" si="38"/>
        <v>Valid</v>
      </c>
      <c r="U400" t="str">
        <f t="shared" si="39"/>
        <v>Valid</v>
      </c>
      <c r="V400" t="str">
        <f t="shared" si="40"/>
        <v>Valid</v>
      </c>
      <c r="W400" t="str">
        <f t="shared" si="41"/>
        <v>Outlier</v>
      </c>
    </row>
    <row r="401" spans="1:23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  <c r="Q401" t="str">
        <f>IF(COUNTIF($A$2:A401,A401)&gt;1,"Duplicate","Unique")</f>
        <v>Unique</v>
      </c>
      <c r="R401" t="str">
        <f t="shared" si="36"/>
        <v>Valid</v>
      </c>
      <c r="S401" t="str">
        <f t="shared" si="37"/>
        <v>Valid</v>
      </c>
      <c r="T401" t="str">
        <f t="shared" si="38"/>
        <v>Valid</v>
      </c>
      <c r="U401" t="str">
        <f t="shared" si="39"/>
        <v>Valid</v>
      </c>
      <c r="V401" t="str">
        <f t="shared" si="40"/>
        <v>Valid</v>
      </c>
      <c r="W401" t="str">
        <f t="shared" si="41"/>
        <v>Outlier</v>
      </c>
    </row>
    <row r="402" spans="1:23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  <c r="Q402" t="str">
        <f>IF(COUNTIF($A$2:A402,A402)&gt;1,"Duplicate","Unique")</f>
        <v>Unique</v>
      </c>
      <c r="R402" t="str">
        <f t="shared" si="36"/>
        <v>Valid</v>
      </c>
      <c r="S402" t="str">
        <f t="shared" si="37"/>
        <v>Valid</v>
      </c>
      <c r="T402" t="str">
        <f t="shared" si="38"/>
        <v>Valid</v>
      </c>
      <c r="U402" t="str">
        <f t="shared" si="39"/>
        <v>Valid</v>
      </c>
      <c r="V402" t="str">
        <f t="shared" si="40"/>
        <v>Valid</v>
      </c>
      <c r="W402" t="str">
        <f t="shared" si="41"/>
        <v>Outlier</v>
      </c>
    </row>
    <row r="403" spans="1:23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  <c r="Q403" t="str">
        <f>IF(COUNTIF($A$2:A403,A403)&gt;1,"Duplicate","Unique")</f>
        <v>Unique</v>
      </c>
      <c r="R403" t="str">
        <f t="shared" si="36"/>
        <v>Valid</v>
      </c>
      <c r="S403" t="str">
        <f t="shared" si="37"/>
        <v>Valid</v>
      </c>
      <c r="T403" t="str">
        <f t="shared" si="38"/>
        <v>Valid</v>
      </c>
      <c r="U403" t="str">
        <f t="shared" si="39"/>
        <v>Valid</v>
      </c>
      <c r="V403" t="str">
        <f t="shared" si="40"/>
        <v>Valid</v>
      </c>
      <c r="W403" t="str">
        <f t="shared" si="41"/>
        <v>Outlier</v>
      </c>
    </row>
    <row r="404" spans="1:23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  <c r="Q404" t="str">
        <f>IF(COUNTIF($A$2:A404,A404)&gt;1,"Duplicate","Unique")</f>
        <v>Unique</v>
      </c>
      <c r="R404" t="str">
        <f t="shared" si="36"/>
        <v>Valid</v>
      </c>
      <c r="S404" t="str">
        <f t="shared" si="37"/>
        <v>Valid</v>
      </c>
      <c r="T404" t="str">
        <f t="shared" si="38"/>
        <v>Valid</v>
      </c>
      <c r="U404" t="str">
        <f t="shared" si="39"/>
        <v>Valid</v>
      </c>
      <c r="V404" t="str">
        <f t="shared" si="40"/>
        <v>Valid</v>
      </c>
      <c r="W404" t="str">
        <f t="shared" si="41"/>
        <v>Outlier</v>
      </c>
    </row>
    <row r="405" spans="1:23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  <c r="Q405" t="str">
        <f>IF(COUNTIF($A$2:A405,A405)&gt;1,"Duplicate","Unique")</f>
        <v>Unique</v>
      </c>
      <c r="R405" t="str">
        <f t="shared" si="36"/>
        <v>Valid</v>
      </c>
      <c r="S405" t="str">
        <f t="shared" si="37"/>
        <v>Valid</v>
      </c>
      <c r="T405" t="str">
        <f t="shared" si="38"/>
        <v>Valid</v>
      </c>
      <c r="U405" t="str">
        <f t="shared" si="39"/>
        <v>Valid</v>
      </c>
      <c r="V405" t="str">
        <f t="shared" si="40"/>
        <v>Valid</v>
      </c>
      <c r="W405" t="str">
        <f t="shared" si="41"/>
        <v>Outlier</v>
      </c>
    </row>
    <row r="406" spans="1:23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  <c r="Q406" t="str">
        <f>IF(COUNTIF($A$2:A406,A406)&gt;1,"Duplicate","Unique")</f>
        <v>Unique</v>
      </c>
      <c r="R406" t="str">
        <f t="shared" si="36"/>
        <v>Valid</v>
      </c>
      <c r="S406" t="str">
        <f t="shared" si="37"/>
        <v>Valid</v>
      </c>
      <c r="T406" t="str">
        <f t="shared" si="38"/>
        <v>Valid</v>
      </c>
      <c r="U406" t="str">
        <f t="shared" si="39"/>
        <v>Valid</v>
      </c>
      <c r="V406" t="str">
        <f t="shared" si="40"/>
        <v>Valid</v>
      </c>
      <c r="W406" t="str">
        <f t="shared" si="41"/>
        <v>Outlier</v>
      </c>
    </row>
    <row r="407" spans="1:23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  <c r="Q407" t="str">
        <f>IF(COUNTIF($A$2:A407,A407)&gt;1,"Duplicate","Unique")</f>
        <v>Unique</v>
      </c>
      <c r="R407" t="str">
        <f t="shared" si="36"/>
        <v>Valid</v>
      </c>
      <c r="S407" t="str">
        <f t="shared" si="37"/>
        <v>Valid</v>
      </c>
      <c r="T407" t="str">
        <f t="shared" si="38"/>
        <v>Valid</v>
      </c>
      <c r="U407" t="str">
        <f t="shared" si="39"/>
        <v>Valid</v>
      </c>
      <c r="V407" t="str">
        <f t="shared" si="40"/>
        <v>Valid</v>
      </c>
      <c r="W407" t="str">
        <f t="shared" si="41"/>
        <v>Outlier</v>
      </c>
    </row>
    <row r="408" spans="1:23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  <c r="Q408" t="str">
        <f>IF(COUNTIF($A$2:A408,A408)&gt;1,"Duplicate","Unique")</f>
        <v>Unique</v>
      </c>
      <c r="R408" t="str">
        <f t="shared" si="36"/>
        <v>Valid</v>
      </c>
      <c r="S408" t="str">
        <f t="shared" si="37"/>
        <v>Valid</v>
      </c>
      <c r="T408" t="str">
        <f t="shared" si="38"/>
        <v>Valid</v>
      </c>
      <c r="U408" t="str">
        <f t="shared" si="39"/>
        <v>Valid</v>
      </c>
      <c r="V408" t="str">
        <f t="shared" si="40"/>
        <v>Valid</v>
      </c>
      <c r="W408" t="str">
        <f t="shared" si="41"/>
        <v>Outlier</v>
      </c>
    </row>
    <row r="409" spans="1:23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  <c r="Q409" t="str">
        <f>IF(COUNTIF($A$2:A409,A409)&gt;1,"Duplicate","Unique")</f>
        <v>Unique</v>
      </c>
      <c r="R409" t="str">
        <f t="shared" si="36"/>
        <v>Valid</v>
      </c>
      <c r="S409" t="str">
        <f t="shared" si="37"/>
        <v>Valid</v>
      </c>
      <c r="T409" t="str">
        <f t="shared" si="38"/>
        <v>Valid</v>
      </c>
      <c r="U409" t="str">
        <f t="shared" si="39"/>
        <v>Valid</v>
      </c>
      <c r="V409" t="str">
        <f t="shared" si="40"/>
        <v>Valid</v>
      </c>
      <c r="W409" t="str">
        <f t="shared" si="41"/>
        <v>Outlier</v>
      </c>
    </row>
    <row r="410" spans="1:23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  <c r="Q410" t="str">
        <f>IF(COUNTIF($A$2:A410,A410)&gt;1,"Duplicate","Unique")</f>
        <v>Unique</v>
      </c>
      <c r="R410" t="str">
        <f t="shared" si="36"/>
        <v>Valid</v>
      </c>
      <c r="S410" t="str">
        <f t="shared" si="37"/>
        <v>Valid</v>
      </c>
      <c r="T410" t="str">
        <f t="shared" si="38"/>
        <v>Valid</v>
      </c>
      <c r="U410" t="str">
        <f t="shared" si="39"/>
        <v>Valid</v>
      </c>
      <c r="V410" t="str">
        <f t="shared" si="40"/>
        <v>Valid</v>
      </c>
      <c r="W410" t="str">
        <f t="shared" si="41"/>
        <v>Outlier</v>
      </c>
    </row>
    <row r="411" spans="1:23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  <c r="Q411" t="str">
        <f>IF(COUNTIF($A$2:A411,A411)&gt;1,"Duplicate","Unique")</f>
        <v>Unique</v>
      </c>
      <c r="R411" t="str">
        <f t="shared" si="36"/>
        <v>Valid</v>
      </c>
      <c r="S411" t="str">
        <f t="shared" si="37"/>
        <v>Valid</v>
      </c>
      <c r="T411" t="str">
        <f t="shared" si="38"/>
        <v>Valid</v>
      </c>
      <c r="U411" t="str">
        <f t="shared" si="39"/>
        <v>Valid</v>
      </c>
      <c r="V411" t="str">
        <f t="shared" si="40"/>
        <v>Valid</v>
      </c>
      <c r="W411" t="str">
        <f t="shared" si="41"/>
        <v>Outlier</v>
      </c>
    </row>
    <row r="412" spans="1:23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  <c r="Q412" t="str">
        <f>IF(COUNTIF($A$2:A412,A412)&gt;1,"Duplicate","Unique")</f>
        <v>Unique</v>
      </c>
      <c r="R412" t="str">
        <f t="shared" si="36"/>
        <v>Valid</v>
      </c>
      <c r="S412" t="str">
        <f t="shared" si="37"/>
        <v>Valid</v>
      </c>
      <c r="T412" t="str">
        <f t="shared" si="38"/>
        <v>Valid</v>
      </c>
      <c r="U412" t="str">
        <f t="shared" si="39"/>
        <v>Valid</v>
      </c>
      <c r="V412" t="str">
        <f t="shared" si="40"/>
        <v>Valid</v>
      </c>
      <c r="W412" t="str">
        <f t="shared" si="41"/>
        <v>Outlier</v>
      </c>
    </row>
    <row r="413" spans="1:23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  <c r="Q413" t="str">
        <f>IF(COUNTIF($A$2:A413,A413)&gt;1,"Duplicate","Unique")</f>
        <v>Unique</v>
      </c>
      <c r="R413" t="str">
        <f t="shared" si="36"/>
        <v>Valid</v>
      </c>
      <c r="S413" t="str">
        <f t="shared" si="37"/>
        <v>Valid</v>
      </c>
      <c r="T413" t="str">
        <f t="shared" si="38"/>
        <v>Valid</v>
      </c>
      <c r="U413" t="str">
        <f t="shared" si="39"/>
        <v>Valid</v>
      </c>
      <c r="V413" t="str">
        <f t="shared" si="40"/>
        <v>Valid</v>
      </c>
      <c r="W413" t="str">
        <f t="shared" si="41"/>
        <v>Outlier</v>
      </c>
    </row>
    <row r="414" spans="1:23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  <c r="Q414" t="str">
        <f>IF(COUNTIF($A$2:A414,A414)&gt;1,"Duplicate","Unique")</f>
        <v>Unique</v>
      </c>
      <c r="R414" t="str">
        <f t="shared" si="36"/>
        <v>Valid</v>
      </c>
      <c r="S414" t="str">
        <f t="shared" si="37"/>
        <v>Valid</v>
      </c>
      <c r="T414" t="str">
        <f t="shared" si="38"/>
        <v>Valid</v>
      </c>
      <c r="U414" t="str">
        <f t="shared" si="39"/>
        <v>Valid</v>
      </c>
      <c r="V414" t="str">
        <f t="shared" si="40"/>
        <v>Valid</v>
      </c>
      <c r="W414" t="str">
        <f t="shared" si="41"/>
        <v>Outlier</v>
      </c>
    </row>
    <row r="415" spans="1:23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  <c r="Q415" t="str">
        <f>IF(COUNTIF($A$2:A415,A415)&gt;1,"Duplicate","Unique")</f>
        <v>Unique</v>
      </c>
      <c r="R415" t="str">
        <f t="shared" si="36"/>
        <v>Valid</v>
      </c>
      <c r="S415" t="str">
        <f t="shared" si="37"/>
        <v>Valid</v>
      </c>
      <c r="T415" t="str">
        <f t="shared" si="38"/>
        <v>Valid</v>
      </c>
      <c r="U415" t="str">
        <f t="shared" si="39"/>
        <v>Valid</v>
      </c>
      <c r="V415" t="str">
        <f t="shared" si="40"/>
        <v>Valid</v>
      </c>
      <c r="W415" t="str">
        <f t="shared" si="41"/>
        <v>Outlier</v>
      </c>
    </row>
    <row r="416" spans="1:23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  <c r="Q416" t="str">
        <f>IF(COUNTIF($A$2:A416,A416)&gt;1,"Duplicate","Unique")</f>
        <v>Unique</v>
      </c>
      <c r="R416" t="str">
        <f t="shared" si="36"/>
        <v>Valid</v>
      </c>
      <c r="S416" t="str">
        <f t="shared" si="37"/>
        <v>Valid</v>
      </c>
      <c r="T416" t="str">
        <f t="shared" si="38"/>
        <v>Valid</v>
      </c>
      <c r="U416" t="str">
        <f t="shared" si="39"/>
        <v>Valid</v>
      </c>
      <c r="V416" t="str">
        <f t="shared" si="40"/>
        <v>Valid</v>
      </c>
      <c r="W416" t="str">
        <f t="shared" si="41"/>
        <v>Outlier</v>
      </c>
    </row>
    <row r="417" spans="1:23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  <c r="Q417" t="str">
        <f>IF(COUNTIF($A$2:A417,A417)&gt;1,"Duplicate","Unique")</f>
        <v>Unique</v>
      </c>
      <c r="R417" t="str">
        <f t="shared" si="36"/>
        <v>Valid</v>
      </c>
      <c r="S417" t="str">
        <f t="shared" si="37"/>
        <v>Valid</v>
      </c>
      <c r="T417" t="str">
        <f t="shared" si="38"/>
        <v>Valid</v>
      </c>
      <c r="U417" t="str">
        <f t="shared" si="39"/>
        <v>Valid</v>
      </c>
      <c r="V417" t="str">
        <f t="shared" si="40"/>
        <v>Valid</v>
      </c>
      <c r="W417" t="str">
        <f t="shared" si="41"/>
        <v>Outlier</v>
      </c>
    </row>
    <row r="418" spans="1:23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  <c r="Q418" t="str">
        <f>IF(COUNTIF($A$2:A418,A418)&gt;1,"Duplicate","Unique")</f>
        <v>Unique</v>
      </c>
      <c r="R418" t="str">
        <f t="shared" si="36"/>
        <v>Valid</v>
      </c>
      <c r="S418" t="str">
        <f t="shared" si="37"/>
        <v>Valid</v>
      </c>
      <c r="T418" t="str">
        <f t="shared" si="38"/>
        <v>Valid</v>
      </c>
      <c r="U418" t="str">
        <f t="shared" si="39"/>
        <v>Valid</v>
      </c>
      <c r="V418" t="str">
        <f t="shared" si="40"/>
        <v>Valid</v>
      </c>
      <c r="W418" t="str">
        <f t="shared" si="41"/>
        <v>Outlier</v>
      </c>
    </row>
    <row r="419" spans="1:23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  <c r="Q419" t="str">
        <f>IF(COUNTIF($A$2:A419,A419)&gt;1,"Duplicate","Unique")</f>
        <v>Unique</v>
      </c>
      <c r="R419" t="str">
        <f t="shared" si="36"/>
        <v>Valid</v>
      </c>
      <c r="S419" t="str">
        <f t="shared" si="37"/>
        <v>Valid</v>
      </c>
      <c r="T419" t="str">
        <f t="shared" si="38"/>
        <v>Valid</v>
      </c>
      <c r="U419" t="str">
        <f t="shared" si="39"/>
        <v>Valid</v>
      </c>
      <c r="V419" t="str">
        <f t="shared" si="40"/>
        <v>Valid</v>
      </c>
      <c r="W419" t="str">
        <f t="shared" si="41"/>
        <v>Outlier</v>
      </c>
    </row>
    <row r="420" spans="1:23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  <c r="Q420" t="str">
        <f>IF(COUNTIF($A$2:A420,A420)&gt;1,"Duplicate","Unique")</f>
        <v>Unique</v>
      </c>
      <c r="R420" t="str">
        <f t="shared" si="36"/>
        <v>Valid</v>
      </c>
      <c r="S420" t="str">
        <f t="shared" si="37"/>
        <v>Valid</v>
      </c>
      <c r="T420" t="str">
        <f t="shared" si="38"/>
        <v>Valid</v>
      </c>
      <c r="U420" t="str">
        <f t="shared" si="39"/>
        <v>Valid</v>
      </c>
      <c r="V420" t="str">
        <f t="shared" si="40"/>
        <v>Valid</v>
      </c>
      <c r="W420" t="str">
        <f t="shared" si="41"/>
        <v>Outlier</v>
      </c>
    </row>
    <row r="421" spans="1:23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  <c r="Q421" t="str">
        <f>IF(COUNTIF($A$2:A421,A421)&gt;1,"Duplicate","Unique")</f>
        <v>Unique</v>
      </c>
      <c r="R421" t="str">
        <f t="shared" si="36"/>
        <v>Valid</v>
      </c>
      <c r="S421" t="str">
        <f t="shared" si="37"/>
        <v>Valid</v>
      </c>
      <c r="T421" t="str">
        <f t="shared" si="38"/>
        <v>Valid</v>
      </c>
      <c r="U421" t="str">
        <f t="shared" si="39"/>
        <v>Valid</v>
      </c>
      <c r="V421" t="str">
        <f t="shared" si="40"/>
        <v>Valid</v>
      </c>
      <c r="W421" t="str">
        <f t="shared" si="41"/>
        <v>Outlier</v>
      </c>
    </row>
    <row r="422" spans="1:23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  <c r="Q422" t="str">
        <f>IF(COUNTIF($A$2:A422,A422)&gt;1,"Duplicate","Unique")</f>
        <v>Unique</v>
      </c>
      <c r="R422" t="str">
        <f t="shared" si="36"/>
        <v>Valid</v>
      </c>
      <c r="S422" t="str">
        <f t="shared" si="37"/>
        <v>Valid</v>
      </c>
      <c r="T422" t="str">
        <f t="shared" si="38"/>
        <v>Valid</v>
      </c>
      <c r="U422" t="str">
        <f t="shared" si="39"/>
        <v>Valid</v>
      </c>
      <c r="V422" t="str">
        <f t="shared" si="40"/>
        <v>Valid</v>
      </c>
      <c r="W422" t="str">
        <f t="shared" si="41"/>
        <v>Outlier</v>
      </c>
    </row>
    <row r="423" spans="1:23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  <c r="Q423" t="str">
        <f>IF(COUNTIF($A$2:A423,A423)&gt;1,"Duplicate","Unique")</f>
        <v>Unique</v>
      </c>
      <c r="R423" t="str">
        <f t="shared" si="36"/>
        <v>Valid</v>
      </c>
      <c r="S423" t="str">
        <f t="shared" si="37"/>
        <v>Valid</v>
      </c>
      <c r="T423" t="str">
        <f t="shared" si="38"/>
        <v>Valid</v>
      </c>
      <c r="U423" t="str">
        <f t="shared" si="39"/>
        <v>Valid</v>
      </c>
      <c r="V423" t="str">
        <f t="shared" si="40"/>
        <v>Valid</v>
      </c>
      <c r="W423" t="str">
        <f t="shared" si="41"/>
        <v>Outlier</v>
      </c>
    </row>
    <row r="424" spans="1:23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  <c r="Q424" t="str">
        <f>IF(COUNTIF($A$2:A424,A424)&gt;1,"Duplicate","Unique")</f>
        <v>Unique</v>
      </c>
      <c r="R424" t="str">
        <f t="shared" si="36"/>
        <v>Valid</v>
      </c>
      <c r="S424" t="str">
        <f t="shared" si="37"/>
        <v>Valid</v>
      </c>
      <c r="T424" t="str">
        <f t="shared" si="38"/>
        <v>Valid</v>
      </c>
      <c r="U424" t="str">
        <f t="shared" si="39"/>
        <v>Valid</v>
      </c>
      <c r="V424" t="str">
        <f t="shared" si="40"/>
        <v>Valid</v>
      </c>
      <c r="W424" t="str">
        <f t="shared" si="41"/>
        <v>Outlier</v>
      </c>
    </row>
    <row r="425" spans="1:23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  <c r="Q425" t="str">
        <f>IF(COUNTIF($A$2:A425,A425)&gt;1,"Duplicate","Unique")</f>
        <v>Unique</v>
      </c>
      <c r="R425" t="str">
        <f t="shared" si="36"/>
        <v>Valid</v>
      </c>
      <c r="S425" t="str">
        <f t="shared" si="37"/>
        <v>Valid</v>
      </c>
      <c r="T425" t="str">
        <f t="shared" si="38"/>
        <v>Valid</v>
      </c>
      <c r="U425" t="str">
        <f t="shared" si="39"/>
        <v>Valid</v>
      </c>
      <c r="V425" t="str">
        <f t="shared" si="40"/>
        <v>Valid</v>
      </c>
      <c r="W425" t="str">
        <f t="shared" si="41"/>
        <v>Outlier</v>
      </c>
    </row>
    <row r="426" spans="1:23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  <c r="Q426" t="str">
        <f>IF(COUNTIF($A$2:A426,A426)&gt;1,"Duplicate","Unique")</f>
        <v>Unique</v>
      </c>
      <c r="R426" t="str">
        <f t="shared" si="36"/>
        <v>Valid</v>
      </c>
      <c r="S426" t="str">
        <f t="shared" si="37"/>
        <v>Valid</v>
      </c>
      <c r="T426" t="str">
        <f t="shared" si="38"/>
        <v>Valid</v>
      </c>
      <c r="U426" t="str">
        <f t="shared" si="39"/>
        <v>Valid</v>
      </c>
      <c r="V426" t="str">
        <f t="shared" si="40"/>
        <v>Valid</v>
      </c>
      <c r="W426" t="str">
        <f t="shared" si="41"/>
        <v>Outlier</v>
      </c>
    </row>
    <row r="427" spans="1:23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  <c r="Q427" t="str">
        <f>IF(COUNTIF($A$2:A427,A427)&gt;1,"Duplicate","Unique")</f>
        <v>Unique</v>
      </c>
      <c r="R427" t="str">
        <f t="shared" si="36"/>
        <v>Valid</v>
      </c>
      <c r="S427" t="str">
        <f t="shared" si="37"/>
        <v>Valid</v>
      </c>
      <c r="T427" t="str">
        <f t="shared" si="38"/>
        <v>Valid</v>
      </c>
      <c r="U427" t="str">
        <f t="shared" si="39"/>
        <v>Valid</v>
      </c>
      <c r="V427" t="str">
        <f t="shared" si="40"/>
        <v>Valid</v>
      </c>
      <c r="W427" t="str">
        <f t="shared" si="41"/>
        <v>Outlier</v>
      </c>
    </row>
    <row r="428" spans="1:23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  <c r="Q428" t="str">
        <f>IF(COUNTIF($A$2:A428,A428)&gt;1,"Duplicate","Unique")</f>
        <v>Unique</v>
      </c>
      <c r="R428" t="str">
        <f t="shared" si="36"/>
        <v>Valid</v>
      </c>
      <c r="S428" t="str">
        <f t="shared" si="37"/>
        <v>Valid</v>
      </c>
      <c r="T428" t="str">
        <f t="shared" si="38"/>
        <v>Valid</v>
      </c>
      <c r="U428" t="str">
        <f t="shared" si="39"/>
        <v>Valid</v>
      </c>
      <c r="V428" t="str">
        <f t="shared" si="40"/>
        <v>Valid</v>
      </c>
      <c r="W428" t="str">
        <f t="shared" si="41"/>
        <v>Outlier</v>
      </c>
    </row>
    <row r="429" spans="1:23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  <c r="Q429" t="str">
        <f>IF(COUNTIF($A$2:A429,A429)&gt;1,"Duplicate","Unique")</f>
        <v>Unique</v>
      </c>
      <c r="R429" t="str">
        <f t="shared" si="36"/>
        <v>Valid</v>
      </c>
      <c r="S429" t="str">
        <f t="shared" si="37"/>
        <v>Valid</v>
      </c>
      <c r="T429" t="str">
        <f t="shared" si="38"/>
        <v>Valid</v>
      </c>
      <c r="U429" t="str">
        <f t="shared" si="39"/>
        <v>Valid</v>
      </c>
      <c r="V429" t="str">
        <f t="shared" si="40"/>
        <v>Valid</v>
      </c>
      <c r="W429" t="str">
        <f t="shared" si="41"/>
        <v>Outlier</v>
      </c>
    </row>
    <row r="430" spans="1:23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  <c r="Q430" t="str">
        <f>IF(COUNTIF($A$2:A430,A430)&gt;1,"Duplicate","Unique")</f>
        <v>Unique</v>
      </c>
      <c r="R430" t="str">
        <f t="shared" si="36"/>
        <v>Valid</v>
      </c>
      <c r="S430" t="str">
        <f t="shared" si="37"/>
        <v>Valid</v>
      </c>
      <c r="T430" t="str">
        <f t="shared" si="38"/>
        <v>Valid</v>
      </c>
      <c r="U430" t="str">
        <f t="shared" si="39"/>
        <v>Valid</v>
      </c>
      <c r="V430" t="str">
        <f t="shared" si="40"/>
        <v>Valid</v>
      </c>
      <c r="W430" t="str">
        <f t="shared" si="41"/>
        <v>Outlier</v>
      </c>
    </row>
    <row r="431" spans="1:23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  <c r="Q431" t="str">
        <f>IF(COUNTIF($A$2:A431,A431)&gt;1,"Duplicate","Unique")</f>
        <v>Unique</v>
      </c>
      <c r="R431" t="str">
        <f t="shared" si="36"/>
        <v>Valid</v>
      </c>
      <c r="S431" t="str">
        <f t="shared" si="37"/>
        <v>Valid</v>
      </c>
      <c r="T431" t="str">
        <f t="shared" si="38"/>
        <v>Valid</v>
      </c>
      <c r="U431" t="str">
        <f t="shared" si="39"/>
        <v>Valid</v>
      </c>
      <c r="V431" t="str">
        <f t="shared" si="40"/>
        <v>Valid</v>
      </c>
      <c r="W431" t="str">
        <f t="shared" si="41"/>
        <v>Outlier</v>
      </c>
    </row>
    <row r="432" spans="1:23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  <c r="Q432" t="str">
        <f>IF(COUNTIF($A$2:A432,A432)&gt;1,"Duplicate","Unique")</f>
        <v>Unique</v>
      </c>
      <c r="R432" t="str">
        <f t="shared" si="36"/>
        <v>Valid</v>
      </c>
      <c r="S432" t="str">
        <f t="shared" si="37"/>
        <v>Valid</v>
      </c>
      <c r="T432" t="str">
        <f t="shared" si="38"/>
        <v>Valid</v>
      </c>
      <c r="U432" t="str">
        <f t="shared" si="39"/>
        <v>Valid</v>
      </c>
      <c r="V432" t="str">
        <f t="shared" si="40"/>
        <v>Valid</v>
      </c>
      <c r="W432" t="str">
        <f t="shared" si="41"/>
        <v>Outlier</v>
      </c>
    </row>
    <row r="433" spans="1:23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  <c r="Q433" t="str">
        <f>IF(COUNTIF($A$2:A433,A433)&gt;1,"Duplicate","Unique")</f>
        <v>Unique</v>
      </c>
      <c r="R433" t="str">
        <f t="shared" si="36"/>
        <v>Valid</v>
      </c>
      <c r="S433" t="str">
        <f t="shared" si="37"/>
        <v>Valid</v>
      </c>
      <c r="T433" t="str">
        <f t="shared" si="38"/>
        <v>Valid</v>
      </c>
      <c r="U433" t="str">
        <f t="shared" si="39"/>
        <v>Valid</v>
      </c>
      <c r="V433" t="str">
        <f t="shared" si="40"/>
        <v>Valid</v>
      </c>
      <c r="W433" t="str">
        <f t="shared" si="41"/>
        <v>Outlier</v>
      </c>
    </row>
    <row r="434" spans="1:23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  <c r="Q434" t="str">
        <f>IF(COUNTIF($A$2:A434,A434)&gt;1,"Duplicate","Unique")</f>
        <v>Unique</v>
      </c>
      <c r="R434" t="str">
        <f t="shared" si="36"/>
        <v>Valid</v>
      </c>
      <c r="S434" t="str">
        <f t="shared" si="37"/>
        <v>Valid</v>
      </c>
      <c r="T434" t="str">
        <f t="shared" si="38"/>
        <v>Valid</v>
      </c>
      <c r="U434" t="str">
        <f t="shared" si="39"/>
        <v>Valid</v>
      </c>
      <c r="V434" t="str">
        <f t="shared" si="40"/>
        <v>Valid</v>
      </c>
      <c r="W434" t="str">
        <f t="shared" si="41"/>
        <v>Outlier</v>
      </c>
    </row>
    <row r="435" spans="1:23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  <c r="Q435" t="str">
        <f>IF(COUNTIF($A$2:A435,A435)&gt;1,"Duplicate","Unique")</f>
        <v>Unique</v>
      </c>
      <c r="R435" t="str">
        <f t="shared" si="36"/>
        <v>Valid</v>
      </c>
      <c r="S435" t="str">
        <f t="shared" si="37"/>
        <v>Valid</v>
      </c>
      <c r="T435" t="str">
        <f t="shared" si="38"/>
        <v>Valid</v>
      </c>
      <c r="U435" t="str">
        <f t="shared" si="39"/>
        <v>Valid</v>
      </c>
      <c r="V435" t="str">
        <f t="shared" si="40"/>
        <v>Valid</v>
      </c>
      <c r="W435" t="str">
        <f t="shared" si="41"/>
        <v>Outlier</v>
      </c>
    </row>
    <row r="436" spans="1:23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  <c r="Q436" t="str">
        <f>IF(COUNTIF($A$2:A436,A436)&gt;1,"Duplicate","Unique")</f>
        <v>Unique</v>
      </c>
      <c r="R436" t="str">
        <f t="shared" si="36"/>
        <v>Valid</v>
      </c>
      <c r="S436" t="str">
        <f t="shared" si="37"/>
        <v>Valid</v>
      </c>
      <c r="T436" t="str">
        <f t="shared" si="38"/>
        <v>Valid</v>
      </c>
      <c r="U436" t="str">
        <f t="shared" si="39"/>
        <v>Valid</v>
      </c>
      <c r="V436" t="str">
        <f t="shared" si="40"/>
        <v>Valid</v>
      </c>
      <c r="W436" t="str">
        <f t="shared" si="41"/>
        <v>Outlier</v>
      </c>
    </row>
    <row r="437" spans="1:23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  <c r="Q437" t="str">
        <f>IF(COUNTIF($A$2:A437,A437)&gt;1,"Duplicate","Unique")</f>
        <v>Unique</v>
      </c>
      <c r="R437" t="str">
        <f t="shared" si="36"/>
        <v>Valid</v>
      </c>
      <c r="S437" t="str">
        <f t="shared" si="37"/>
        <v>Valid</v>
      </c>
      <c r="T437" t="str">
        <f t="shared" si="38"/>
        <v>Valid</v>
      </c>
      <c r="U437" t="str">
        <f t="shared" si="39"/>
        <v>Valid</v>
      </c>
      <c r="V437" t="str">
        <f t="shared" si="40"/>
        <v>Valid</v>
      </c>
      <c r="W437" t="str">
        <f t="shared" si="41"/>
        <v>Outlier</v>
      </c>
    </row>
    <row r="438" spans="1:23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  <c r="Q438" t="str">
        <f>IF(COUNTIF($A$2:A438,A438)&gt;1,"Duplicate","Unique")</f>
        <v>Unique</v>
      </c>
      <c r="R438" t="str">
        <f t="shared" si="36"/>
        <v>Valid</v>
      </c>
      <c r="S438" t="str">
        <f t="shared" si="37"/>
        <v>Valid</v>
      </c>
      <c r="T438" t="str">
        <f t="shared" si="38"/>
        <v>Valid</v>
      </c>
      <c r="U438" t="str">
        <f t="shared" si="39"/>
        <v>Valid</v>
      </c>
      <c r="V438" t="str">
        <f t="shared" si="40"/>
        <v>Valid</v>
      </c>
      <c r="W438" t="str">
        <f t="shared" si="41"/>
        <v>Outlier</v>
      </c>
    </row>
    <row r="439" spans="1:23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  <c r="Q439" t="str">
        <f>IF(COUNTIF($A$2:A439,A439)&gt;1,"Duplicate","Unique")</f>
        <v>Unique</v>
      </c>
      <c r="R439" t="str">
        <f t="shared" si="36"/>
        <v>Valid</v>
      </c>
      <c r="S439" t="str">
        <f t="shared" si="37"/>
        <v>Valid</v>
      </c>
      <c r="T439" t="str">
        <f t="shared" si="38"/>
        <v>Valid</v>
      </c>
      <c r="U439" t="str">
        <f t="shared" si="39"/>
        <v>Valid</v>
      </c>
      <c r="V439" t="str">
        <f t="shared" si="40"/>
        <v>Valid</v>
      </c>
      <c r="W439" t="str">
        <f t="shared" si="41"/>
        <v>Outlier</v>
      </c>
    </row>
    <row r="440" spans="1:23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  <c r="Q440" t="str">
        <f>IF(COUNTIF($A$2:A440,A440)&gt;1,"Duplicate","Unique")</f>
        <v>Unique</v>
      </c>
      <c r="R440" t="str">
        <f t="shared" si="36"/>
        <v>Valid</v>
      </c>
      <c r="S440" t="str">
        <f t="shared" si="37"/>
        <v>Valid</v>
      </c>
      <c r="T440" t="str">
        <f t="shared" si="38"/>
        <v>Valid</v>
      </c>
      <c r="U440" t="str">
        <f t="shared" si="39"/>
        <v>Valid</v>
      </c>
      <c r="V440" t="str">
        <f t="shared" si="40"/>
        <v>Valid</v>
      </c>
      <c r="W440" t="str">
        <f t="shared" si="41"/>
        <v>Outlier</v>
      </c>
    </row>
    <row r="441" spans="1:23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  <c r="Q441" t="str">
        <f>IF(COUNTIF($A$2:A441,A441)&gt;1,"Duplicate","Unique")</f>
        <v>Unique</v>
      </c>
      <c r="R441" t="str">
        <f t="shared" si="36"/>
        <v>Valid</v>
      </c>
      <c r="S441" t="str">
        <f t="shared" si="37"/>
        <v>Valid</v>
      </c>
      <c r="T441" t="str">
        <f t="shared" si="38"/>
        <v>Valid</v>
      </c>
      <c r="U441" t="str">
        <f t="shared" si="39"/>
        <v>Valid</v>
      </c>
      <c r="V441" t="str">
        <f t="shared" si="40"/>
        <v>Valid</v>
      </c>
      <c r="W441" t="str">
        <f t="shared" si="41"/>
        <v>Outlier</v>
      </c>
    </row>
    <row r="442" spans="1:23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  <c r="Q442" t="str">
        <f>IF(COUNTIF($A$2:A442,A442)&gt;1,"Duplicate","Unique")</f>
        <v>Unique</v>
      </c>
      <c r="R442" t="str">
        <f t="shared" si="36"/>
        <v>Valid</v>
      </c>
      <c r="S442" t="str">
        <f t="shared" si="37"/>
        <v>Valid</v>
      </c>
      <c r="T442" t="str">
        <f t="shared" si="38"/>
        <v>Valid</v>
      </c>
      <c r="U442" t="str">
        <f t="shared" si="39"/>
        <v>Valid</v>
      </c>
      <c r="V442" t="str">
        <f t="shared" si="40"/>
        <v>Valid</v>
      </c>
      <c r="W442" t="str">
        <f t="shared" si="41"/>
        <v>Outlier</v>
      </c>
    </row>
    <row r="443" spans="1:23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  <c r="Q443" t="str">
        <f>IF(COUNTIF($A$2:A443,A443)&gt;1,"Duplicate","Unique")</f>
        <v>Unique</v>
      </c>
      <c r="R443" t="str">
        <f t="shared" si="36"/>
        <v>Valid</v>
      </c>
      <c r="S443" t="str">
        <f t="shared" si="37"/>
        <v>Valid</v>
      </c>
      <c r="T443" t="str">
        <f t="shared" si="38"/>
        <v>Valid</v>
      </c>
      <c r="U443" t="str">
        <f t="shared" si="39"/>
        <v>Valid</v>
      </c>
      <c r="V443" t="str">
        <f t="shared" si="40"/>
        <v>Valid</v>
      </c>
      <c r="W443" t="str">
        <f t="shared" si="41"/>
        <v>Outlier</v>
      </c>
    </row>
    <row r="444" spans="1:23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  <c r="Q444" t="str">
        <f>IF(COUNTIF($A$2:A444,A444)&gt;1,"Duplicate","Unique")</f>
        <v>Unique</v>
      </c>
      <c r="R444" t="str">
        <f t="shared" si="36"/>
        <v>Valid</v>
      </c>
      <c r="S444" t="str">
        <f t="shared" si="37"/>
        <v>Valid</v>
      </c>
      <c r="T444" t="str">
        <f t="shared" si="38"/>
        <v>Valid</v>
      </c>
      <c r="U444" t="str">
        <f t="shared" si="39"/>
        <v>Valid</v>
      </c>
      <c r="V444" t="str">
        <f t="shared" si="40"/>
        <v>Valid</v>
      </c>
      <c r="W444" t="str">
        <f t="shared" si="41"/>
        <v>Outlier</v>
      </c>
    </row>
    <row r="445" spans="1:23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  <c r="Q445" t="str">
        <f>IF(COUNTIF($A$2:A445,A445)&gt;1,"Duplicate","Unique")</f>
        <v>Unique</v>
      </c>
      <c r="R445" t="str">
        <f t="shared" si="36"/>
        <v>Valid</v>
      </c>
      <c r="S445" t="str">
        <f t="shared" si="37"/>
        <v>Valid</v>
      </c>
      <c r="T445" t="str">
        <f t="shared" si="38"/>
        <v>Valid</v>
      </c>
      <c r="U445" t="str">
        <f t="shared" si="39"/>
        <v>Valid</v>
      </c>
      <c r="V445" t="str">
        <f t="shared" si="40"/>
        <v>Valid</v>
      </c>
      <c r="W445" t="str">
        <f t="shared" si="41"/>
        <v>Outlier</v>
      </c>
    </row>
    <row r="446" spans="1:23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  <c r="Q446" t="str">
        <f>IF(COUNTIF($A$2:A446,A446)&gt;1,"Duplicate","Unique")</f>
        <v>Unique</v>
      </c>
      <c r="R446" t="str">
        <f t="shared" si="36"/>
        <v>Valid</v>
      </c>
      <c r="S446" t="str">
        <f t="shared" si="37"/>
        <v>Valid</v>
      </c>
      <c r="T446" t="str">
        <f t="shared" si="38"/>
        <v>Valid</v>
      </c>
      <c r="U446" t="str">
        <f t="shared" si="39"/>
        <v>Valid</v>
      </c>
      <c r="V446" t="str">
        <f t="shared" si="40"/>
        <v>Valid</v>
      </c>
      <c r="W446" t="str">
        <f t="shared" si="41"/>
        <v>Outlier</v>
      </c>
    </row>
    <row r="447" spans="1:23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  <c r="Q447" t="str">
        <f>IF(COUNTIF($A$2:A447,A447)&gt;1,"Duplicate","Unique")</f>
        <v>Unique</v>
      </c>
      <c r="R447" t="str">
        <f t="shared" si="36"/>
        <v>Valid</v>
      </c>
      <c r="S447" t="str">
        <f t="shared" si="37"/>
        <v>Valid</v>
      </c>
      <c r="T447" t="str">
        <f t="shared" si="38"/>
        <v>Valid</v>
      </c>
      <c r="U447" t="str">
        <f t="shared" si="39"/>
        <v>Valid</v>
      </c>
      <c r="V447" t="str">
        <f t="shared" si="40"/>
        <v>Valid</v>
      </c>
      <c r="W447" t="str">
        <f t="shared" si="41"/>
        <v>Outlier</v>
      </c>
    </row>
    <row r="448" spans="1:23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  <c r="Q448" t="str">
        <f>IF(COUNTIF($A$2:A448,A448)&gt;1,"Duplicate","Unique")</f>
        <v>Unique</v>
      </c>
      <c r="R448" t="str">
        <f t="shared" si="36"/>
        <v>Valid</v>
      </c>
      <c r="S448" t="str">
        <f t="shared" si="37"/>
        <v>Valid</v>
      </c>
      <c r="T448" t="str">
        <f t="shared" si="38"/>
        <v>Valid</v>
      </c>
      <c r="U448" t="str">
        <f t="shared" si="39"/>
        <v>Valid</v>
      </c>
      <c r="V448" t="str">
        <f t="shared" si="40"/>
        <v>Valid</v>
      </c>
      <c r="W448" t="str">
        <f t="shared" si="41"/>
        <v>Outlier</v>
      </c>
    </row>
    <row r="449" spans="1:23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  <c r="Q449" t="str">
        <f>IF(COUNTIF($A$2:A449,A449)&gt;1,"Duplicate","Unique")</f>
        <v>Unique</v>
      </c>
      <c r="R449" t="str">
        <f t="shared" si="36"/>
        <v>Valid</v>
      </c>
      <c r="S449" t="str">
        <f t="shared" si="37"/>
        <v>Valid</v>
      </c>
      <c r="T449" t="str">
        <f t="shared" si="38"/>
        <v>Valid</v>
      </c>
      <c r="U449" t="str">
        <f t="shared" si="39"/>
        <v>Valid</v>
      </c>
      <c r="V449" t="str">
        <f t="shared" si="40"/>
        <v>Valid</v>
      </c>
      <c r="W449" t="str">
        <f t="shared" si="41"/>
        <v>Outlier</v>
      </c>
    </row>
    <row r="450" spans="1:23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  <c r="Q450" t="str">
        <f>IF(COUNTIF($A$2:A450,A450)&gt;1,"Duplicate","Unique")</f>
        <v>Unique</v>
      </c>
      <c r="R450" t="str">
        <f t="shared" si="36"/>
        <v>Valid</v>
      </c>
      <c r="S450" t="str">
        <f t="shared" si="37"/>
        <v>Valid</v>
      </c>
      <c r="T450" t="str">
        <f t="shared" si="38"/>
        <v>Valid</v>
      </c>
      <c r="U450" t="str">
        <f t="shared" si="39"/>
        <v>Valid</v>
      </c>
      <c r="V450" t="str">
        <f t="shared" si="40"/>
        <v>Valid</v>
      </c>
      <c r="W450" t="str">
        <f t="shared" si="41"/>
        <v>Outlier</v>
      </c>
    </row>
    <row r="451" spans="1:23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  <c r="Q451" t="str">
        <f>IF(COUNTIF($A$2:A451,A451)&gt;1,"Duplicate","Unique")</f>
        <v>Unique</v>
      </c>
      <c r="R451" t="str">
        <f t="shared" ref="R451:R514" si="42">IF(OR(H451=0,H451=1),"Valid","Invalid")</f>
        <v>Valid</v>
      </c>
      <c r="S451" t="str">
        <f t="shared" ref="S451:S514" si="43">IF(OR(I451=0,I451=1),"Valid","Invalid")</f>
        <v>Valid</v>
      </c>
      <c r="T451" t="str">
        <f t="shared" ref="T451:T514" si="44">IF(OR(J451=0,J451=1),"Valid","Invalid")</f>
        <v>Valid</v>
      </c>
      <c r="U451" t="str">
        <f t="shared" ref="U451:U514" si="45">IF(OR(K451=0,K451=1),"Valid","Invalid")</f>
        <v>Valid</v>
      </c>
      <c r="V451" t="str">
        <f t="shared" ref="V451:V514" si="46">IF(OR(N451=0,N451=1),"Valid","Invalid")</f>
        <v>Valid</v>
      </c>
      <c r="W451" t="str">
        <f t="shared" ref="W451:W514" si="47">IF(OR(L451&lt;$B$23,L451&gt;$B$24),"Outlier","Normal")</f>
        <v>Outlier</v>
      </c>
    </row>
    <row r="452" spans="1:23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  <c r="Q452" t="str">
        <f>IF(COUNTIF($A$2:A452,A452)&gt;1,"Duplicate","Unique")</f>
        <v>Unique</v>
      </c>
      <c r="R452" t="str">
        <f t="shared" si="42"/>
        <v>Valid</v>
      </c>
      <c r="S452" t="str">
        <f t="shared" si="43"/>
        <v>Valid</v>
      </c>
      <c r="T452" t="str">
        <f t="shared" si="44"/>
        <v>Valid</v>
      </c>
      <c r="U452" t="str">
        <f t="shared" si="45"/>
        <v>Valid</v>
      </c>
      <c r="V452" t="str">
        <f t="shared" si="46"/>
        <v>Valid</v>
      </c>
      <c r="W452" t="str">
        <f t="shared" si="47"/>
        <v>Outlier</v>
      </c>
    </row>
    <row r="453" spans="1:23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  <c r="Q453" t="str">
        <f>IF(COUNTIF($A$2:A453,A453)&gt;1,"Duplicate","Unique")</f>
        <v>Unique</v>
      </c>
      <c r="R453" t="str">
        <f t="shared" si="42"/>
        <v>Valid</v>
      </c>
      <c r="S453" t="str">
        <f t="shared" si="43"/>
        <v>Valid</v>
      </c>
      <c r="T453" t="str">
        <f t="shared" si="44"/>
        <v>Valid</v>
      </c>
      <c r="U453" t="str">
        <f t="shared" si="45"/>
        <v>Valid</v>
      </c>
      <c r="V453" t="str">
        <f t="shared" si="46"/>
        <v>Valid</v>
      </c>
      <c r="W453" t="str">
        <f t="shared" si="47"/>
        <v>Outlier</v>
      </c>
    </row>
    <row r="454" spans="1:23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  <c r="Q454" t="str">
        <f>IF(COUNTIF($A$2:A454,A454)&gt;1,"Duplicate","Unique")</f>
        <v>Unique</v>
      </c>
      <c r="R454" t="str">
        <f t="shared" si="42"/>
        <v>Valid</v>
      </c>
      <c r="S454" t="str">
        <f t="shared" si="43"/>
        <v>Valid</v>
      </c>
      <c r="T454" t="str">
        <f t="shared" si="44"/>
        <v>Valid</v>
      </c>
      <c r="U454" t="str">
        <f t="shared" si="45"/>
        <v>Valid</v>
      </c>
      <c r="V454" t="str">
        <f t="shared" si="46"/>
        <v>Valid</v>
      </c>
      <c r="W454" t="str">
        <f t="shared" si="47"/>
        <v>Outlier</v>
      </c>
    </row>
    <row r="455" spans="1:23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  <c r="Q455" t="str">
        <f>IF(COUNTIF($A$2:A455,A455)&gt;1,"Duplicate","Unique")</f>
        <v>Unique</v>
      </c>
      <c r="R455" t="str">
        <f t="shared" si="42"/>
        <v>Valid</v>
      </c>
      <c r="S455" t="str">
        <f t="shared" si="43"/>
        <v>Valid</v>
      </c>
      <c r="T455" t="str">
        <f t="shared" si="44"/>
        <v>Valid</v>
      </c>
      <c r="U455" t="str">
        <f t="shared" si="45"/>
        <v>Valid</v>
      </c>
      <c r="V455" t="str">
        <f t="shared" si="46"/>
        <v>Valid</v>
      </c>
      <c r="W455" t="str">
        <f t="shared" si="47"/>
        <v>Outlier</v>
      </c>
    </row>
    <row r="456" spans="1:23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  <c r="Q456" t="str">
        <f>IF(COUNTIF($A$2:A456,A456)&gt;1,"Duplicate","Unique")</f>
        <v>Unique</v>
      </c>
      <c r="R456" t="str">
        <f t="shared" si="42"/>
        <v>Valid</v>
      </c>
      <c r="S456" t="str">
        <f t="shared" si="43"/>
        <v>Valid</v>
      </c>
      <c r="T456" t="str">
        <f t="shared" si="44"/>
        <v>Valid</v>
      </c>
      <c r="U456" t="str">
        <f t="shared" si="45"/>
        <v>Valid</v>
      </c>
      <c r="V456" t="str">
        <f t="shared" si="46"/>
        <v>Valid</v>
      </c>
      <c r="W456" t="str">
        <f t="shared" si="47"/>
        <v>Outlier</v>
      </c>
    </row>
    <row r="457" spans="1:23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  <c r="Q457" t="str">
        <f>IF(COUNTIF($A$2:A457,A457)&gt;1,"Duplicate","Unique")</f>
        <v>Unique</v>
      </c>
      <c r="R457" t="str">
        <f t="shared" si="42"/>
        <v>Valid</v>
      </c>
      <c r="S457" t="str">
        <f t="shared" si="43"/>
        <v>Valid</v>
      </c>
      <c r="T457" t="str">
        <f t="shared" si="44"/>
        <v>Valid</v>
      </c>
      <c r="U457" t="str">
        <f t="shared" si="45"/>
        <v>Valid</v>
      </c>
      <c r="V457" t="str">
        <f t="shared" si="46"/>
        <v>Valid</v>
      </c>
      <c r="W457" t="str">
        <f t="shared" si="47"/>
        <v>Outlier</v>
      </c>
    </row>
    <row r="458" spans="1:23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  <c r="Q458" t="str">
        <f>IF(COUNTIF($A$2:A458,A458)&gt;1,"Duplicate","Unique")</f>
        <v>Unique</v>
      </c>
      <c r="R458" t="str">
        <f t="shared" si="42"/>
        <v>Valid</v>
      </c>
      <c r="S458" t="str">
        <f t="shared" si="43"/>
        <v>Valid</v>
      </c>
      <c r="T458" t="str">
        <f t="shared" si="44"/>
        <v>Valid</v>
      </c>
      <c r="U458" t="str">
        <f t="shared" si="45"/>
        <v>Valid</v>
      </c>
      <c r="V458" t="str">
        <f t="shared" si="46"/>
        <v>Valid</v>
      </c>
      <c r="W458" t="str">
        <f t="shared" si="47"/>
        <v>Outlier</v>
      </c>
    </row>
    <row r="459" spans="1:23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  <c r="Q459" t="str">
        <f>IF(COUNTIF($A$2:A459,A459)&gt;1,"Duplicate","Unique")</f>
        <v>Unique</v>
      </c>
      <c r="R459" t="str">
        <f t="shared" si="42"/>
        <v>Valid</v>
      </c>
      <c r="S459" t="str">
        <f t="shared" si="43"/>
        <v>Valid</v>
      </c>
      <c r="T459" t="str">
        <f t="shared" si="44"/>
        <v>Valid</v>
      </c>
      <c r="U459" t="str">
        <f t="shared" si="45"/>
        <v>Valid</v>
      </c>
      <c r="V459" t="str">
        <f t="shared" si="46"/>
        <v>Valid</v>
      </c>
      <c r="W459" t="str">
        <f t="shared" si="47"/>
        <v>Outlier</v>
      </c>
    </row>
    <row r="460" spans="1:23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  <c r="Q460" t="str">
        <f>IF(COUNTIF($A$2:A460,A460)&gt;1,"Duplicate","Unique")</f>
        <v>Unique</v>
      </c>
      <c r="R460" t="str">
        <f t="shared" si="42"/>
        <v>Valid</v>
      </c>
      <c r="S460" t="str">
        <f t="shared" si="43"/>
        <v>Valid</v>
      </c>
      <c r="T460" t="str">
        <f t="shared" si="44"/>
        <v>Valid</v>
      </c>
      <c r="U460" t="str">
        <f t="shared" si="45"/>
        <v>Valid</v>
      </c>
      <c r="V460" t="str">
        <f t="shared" si="46"/>
        <v>Valid</v>
      </c>
      <c r="W460" t="str">
        <f t="shared" si="47"/>
        <v>Outlier</v>
      </c>
    </row>
    <row r="461" spans="1:23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  <c r="Q461" t="str">
        <f>IF(COUNTIF($A$2:A461,A461)&gt;1,"Duplicate","Unique")</f>
        <v>Unique</v>
      </c>
      <c r="R461" t="str">
        <f t="shared" si="42"/>
        <v>Valid</v>
      </c>
      <c r="S461" t="str">
        <f t="shared" si="43"/>
        <v>Valid</v>
      </c>
      <c r="T461" t="str">
        <f t="shared" si="44"/>
        <v>Valid</v>
      </c>
      <c r="U461" t="str">
        <f t="shared" si="45"/>
        <v>Valid</v>
      </c>
      <c r="V461" t="str">
        <f t="shared" si="46"/>
        <v>Valid</v>
      </c>
      <c r="W461" t="str">
        <f t="shared" si="47"/>
        <v>Outlier</v>
      </c>
    </row>
    <row r="462" spans="1:23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  <c r="Q462" t="str">
        <f>IF(COUNTIF($A$2:A462,A462)&gt;1,"Duplicate","Unique")</f>
        <v>Unique</v>
      </c>
      <c r="R462" t="str">
        <f t="shared" si="42"/>
        <v>Valid</v>
      </c>
      <c r="S462" t="str">
        <f t="shared" si="43"/>
        <v>Valid</v>
      </c>
      <c r="T462" t="str">
        <f t="shared" si="44"/>
        <v>Valid</v>
      </c>
      <c r="U462" t="str">
        <f t="shared" si="45"/>
        <v>Valid</v>
      </c>
      <c r="V462" t="str">
        <f t="shared" si="46"/>
        <v>Valid</v>
      </c>
      <c r="W462" t="str">
        <f t="shared" si="47"/>
        <v>Outlier</v>
      </c>
    </row>
    <row r="463" spans="1:23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  <c r="Q463" t="str">
        <f>IF(COUNTIF($A$2:A463,A463)&gt;1,"Duplicate","Unique")</f>
        <v>Unique</v>
      </c>
      <c r="R463" t="str">
        <f t="shared" si="42"/>
        <v>Valid</v>
      </c>
      <c r="S463" t="str">
        <f t="shared" si="43"/>
        <v>Valid</v>
      </c>
      <c r="T463" t="str">
        <f t="shared" si="44"/>
        <v>Valid</v>
      </c>
      <c r="U463" t="str">
        <f t="shared" si="45"/>
        <v>Valid</v>
      </c>
      <c r="V463" t="str">
        <f t="shared" si="46"/>
        <v>Valid</v>
      </c>
      <c r="W463" t="str">
        <f t="shared" si="47"/>
        <v>Outlier</v>
      </c>
    </row>
    <row r="464" spans="1:23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  <c r="Q464" t="str">
        <f>IF(COUNTIF($A$2:A464,A464)&gt;1,"Duplicate","Unique")</f>
        <v>Unique</v>
      </c>
      <c r="R464" t="str">
        <f t="shared" si="42"/>
        <v>Valid</v>
      </c>
      <c r="S464" t="str">
        <f t="shared" si="43"/>
        <v>Valid</v>
      </c>
      <c r="T464" t="str">
        <f t="shared" si="44"/>
        <v>Valid</v>
      </c>
      <c r="U464" t="str">
        <f t="shared" si="45"/>
        <v>Valid</v>
      </c>
      <c r="V464" t="str">
        <f t="shared" si="46"/>
        <v>Valid</v>
      </c>
      <c r="W464" t="str">
        <f t="shared" si="47"/>
        <v>Outlier</v>
      </c>
    </row>
    <row r="465" spans="1:23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  <c r="Q465" t="str">
        <f>IF(COUNTIF($A$2:A465,A465)&gt;1,"Duplicate","Unique")</f>
        <v>Unique</v>
      </c>
      <c r="R465" t="str">
        <f t="shared" si="42"/>
        <v>Valid</v>
      </c>
      <c r="S465" t="str">
        <f t="shared" si="43"/>
        <v>Valid</v>
      </c>
      <c r="T465" t="str">
        <f t="shared" si="44"/>
        <v>Valid</v>
      </c>
      <c r="U465" t="str">
        <f t="shared" si="45"/>
        <v>Valid</v>
      </c>
      <c r="V465" t="str">
        <f t="shared" si="46"/>
        <v>Valid</v>
      </c>
      <c r="W465" t="str">
        <f t="shared" si="47"/>
        <v>Outlier</v>
      </c>
    </row>
    <row r="466" spans="1:23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  <c r="Q466" t="str">
        <f>IF(COUNTIF($A$2:A466,A466)&gt;1,"Duplicate","Unique")</f>
        <v>Unique</v>
      </c>
      <c r="R466" t="str">
        <f t="shared" si="42"/>
        <v>Valid</v>
      </c>
      <c r="S466" t="str">
        <f t="shared" si="43"/>
        <v>Valid</v>
      </c>
      <c r="T466" t="str">
        <f t="shared" si="44"/>
        <v>Valid</v>
      </c>
      <c r="U466" t="str">
        <f t="shared" si="45"/>
        <v>Valid</v>
      </c>
      <c r="V466" t="str">
        <f t="shared" si="46"/>
        <v>Valid</v>
      </c>
      <c r="W466" t="str">
        <f t="shared" si="47"/>
        <v>Outlier</v>
      </c>
    </row>
    <row r="467" spans="1:23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  <c r="Q467" t="str">
        <f>IF(COUNTIF($A$2:A467,A467)&gt;1,"Duplicate","Unique")</f>
        <v>Unique</v>
      </c>
      <c r="R467" t="str">
        <f t="shared" si="42"/>
        <v>Valid</v>
      </c>
      <c r="S467" t="str">
        <f t="shared" si="43"/>
        <v>Valid</v>
      </c>
      <c r="T467" t="str">
        <f t="shared" si="44"/>
        <v>Valid</v>
      </c>
      <c r="U467" t="str">
        <f t="shared" si="45"/>
        <v>Valid</v>
      </c>
      <c r="V467" t="str">
        <f t="shared" si="46"/>
        <v>Valid</v>
      </c>
      <c r="W467" t="str">
        <f t="shared" si="47"/>
        <v>Outlier</v>
      </c>
    </row>
    <row r="468" spans="1:23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  <c r="Q468" t="str">
        <f>IF(COUNTIF($A$2:A468,A468)&gt;1,"Duplicate","Unique")</f>
        <v>Unique</v>
      </c>
      <c r="R468" t="str">
        <f t="shared" si="42"/>
        <v>Valid</v>
      </c>
      <c r="S468" t="str">
        <f t="shared" si="43"/>
        <v>Valid</v>
      </c>
      <c r="T468" t="str">
        <f t="shared" si="44"/>
        <v>Valid</v>
      </c>
      <c r="U468" t="str">
        <f t="shared" si="45"/>
        <v>Valid</v>
      </c>
      <c r="V468" t="str">
        <f t="shared" si="46"/>
        <v>Valid</v>
      </c>
      <c r="W468" t="str">
        <f t="shared" si="47"/>
        <v>Outlier</v>
      </c>
    </row>
    <row r="469" spans="1:23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  <c r="Q469" t="str">
        <f>IF(COUNTIF($A$2:A469,A469)&gt;1,"Duplicate","Unique")</f>
        <v>Unique</v>
      </c>
      <c r="R469" t="str">
        <f t="shared" si="42"/>
        <v>Valid</v>
      </c>
      <c r="S469" t="str">
        <f t="shared" si="43"/>
        <v>Valid</v>
      </c>
      <c r="T469" t="str">
        <f t="shared" si="44"/>
        <v>Valid</v>
      </c>
      <c r="U469" t="str">
        <f t="shared" si="45"/>
        <v>Valid</v>
      </c>
      <c r="V469" t="str">
        <f t="shared" si="46"/>
        <v>Valid</v>
      </c>
      <c r="W469" t="str">
        <f t="shared" si="47"/>
        <v>Outlier</v>
      </c>
    </row>
    <row r="470" spans="1:23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  <c r="Q470" t="str">
        <f>IF(COUNTIF($A$2:A470,A470)&gt;1,"Duplicate","Unique")</f>
        <v>Unique</v>
      </c>
      <c r="R470" t="str">
        <f t="shared" si="42"/>
        <v>Valid</v>
      </c>
      <c r="S470" t="str">
        <f t="shared" si="43"/>
        <v>Valid</v>
      </c>
      <c r="T470" t="str">
        <f t="shared" si="44"/>
        <v>Valid</v>
      </c>
      <c r="U470" t="str">
        <f t="shared" si="45"/>
        <v>Valid</v>
      </c>
      <c r="V470" t="str">
        <f t="shared" si="46"/>
        <v>Valid</v>
      </c>
      <c r="W470" t="str">
        <f t="shared" si="47"/>
        <v>Outlier</v>
      </c>
    </row>
    <row r="471" spans="1:23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  <c r="Q471" t="str">
        <f>IF(COUNTIF($A$2:A471,A471)&gt;1,"Duplicate","Unique")</f>
        <v>Unique</v>
      </c>
      <c r="R471" t="str">
        <f t="shared" si="42"/>
        <v>Valid</v>
      </c>
      <c r="S471" t="str">
        <f t="shared" si="43"/>
        <v>Valid</v>
      </c>
      <c r="T471" t="str">
        <f t="shared" si="44"/>
        <v>Valid</v>
      </c>
      <c r="U471" t="str">
        <f t="shared" si="45"/>
        <v>Valid</v>
      </c>
      <c r="V471" t="str">
        <f t="shared" si="46"/>
        <v>Valid</v>
      </c>
      <c r="W471" t="str">
        <f t="shared" si="47"/>
        <v>Outlier</v>
      </c>
    </row>
    <row r="472" spans="1:23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  <c r="Q472" t="str">
        <f>IF(COUNTIF($A$2:A472,A472)&gt;1,"Duplicate","Unique")</f>
        <v>Unique</v>
      </c>
      <c r="R472" t="str">
        <f t="shared" si="42"/>
        <v>Valid</v>
      </c>
      <c r="S472" t="str">
        <f t="shared" si="43"/>
        <v>Valid</v>
      </c>
      <c r="T472" t="str">
        <f t="shared" si="44"/>
        <v>Valid</v>
      </c>
      <c r="U472" t="str">
        <f t="shared" si="45"/>
        <v>Valid</v>
      </c>
      <c r="V472" t="str">
        <f t="shared" si="46"/>
        <v>Valid</v>
      </c>
      <c r="W472" t="str">
        <f t="shared" si="47"/>
        <v>Outlier</v>
      </c>
    </row>
    <row r="473" spans="1:23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  <c r="Q473" t="str">
        <f>IF(COUNTIF($A$2:A473,A473)&gt;1,"Duplicate","Unique")</f>
        <v>Unique</v>
      </c>
      <c r="R473" t="str">
        <f t="shared" si="42"/>
        <v>Valid</v>
      </c>
      <c r="S473" t="str">
        <f t="shared" si="43"/>
        <v>Valid</v>
      </c>
      <c r="T473" t="str">
        <f t="shared" si="44"/>
        <v>Valid</v>
      </c>
      <c r="U473" t="str">
        <f t="shared" si="45"/>
        <v>Valid</v>
      </c>
      <c r="V473" t="str">
        <f t="shared" si="46"/>
        <v>Valid</v>
      </c>
      <c r="W473" t="str">
        <f t="shared" si="47"/>
        <v>Outlier</v>
      </c>
    </row>
    <row r="474" spans="1:23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  <c r="Q474" t="str">
        <f>IF(COUNTIF($A$2:A474,A474)&gt;1,"Duplicate","Unique")</f>
        <v>Unique</v>
      </c>
      <c r="R474" t="str">
        <f t="shared" si="42"/>
        <v>Valid</v>
      </c>
      <c r="S474" t="str">
        <f t="shared" si="43"/>
        <v>Valid</v>
      </c>
      <c r="T474" t="str">
        <f t="shared" si="44"/>
        <v>Valid</v>
      </c>
      <c r="U474" t="str">
        <f t="shared" si="45"/>
        <v>Valid</v>
      </c>
      <c r="V474" t="str">
        <f t="shared" si="46"/>
        <v>Valid</v>
      </c>
      <c r="W474" t="str">
        <f t="shared" si="47"/>
        <v>Outlier</v>
      </c>
    </row>
    <row r="475" spans="1:23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  <c r="Q475" t="str">
        <f>IF(COUNTIF($A$2:A475,A475)&gt;1,"Duplicate","Unique")</f>
        <v>Unique</v>
      </c>
      <c r="R475" t="str">
        <f t="shared" si="42"/>
        <v>Valid</v>
      </c>
      <c r="S475" t="str">
        <f t="shared" si="43"/>
        <v>Valid</v>
      </c>
      <c r="T475" t="str">
        <f t="shared" si="44"/>
        <v>Valid</v>
      </c>
      <c r="U475" t="str">
        <f t="shared" si="45"/>
        <v>Valid</v>
      </c>
      <c r="V475" t="str">
        <f t="shared" si="46"/>
        <v>Valid</v>
      </c>
      <c r="W475" t="str">
        <f t="shared" si="47"/>
        <v>Outlier</v>
      </c>
    </row>
    <row r="476" spans="1:23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  <c r="Q476" t="str">
        <f>IF(COUNTIF($A$2:A476,A476)&gt;1,"Duplicate","Unique")</f>
        <v>Unique</v>
      </c>
      <c r="R476" t="str">
        <f t="shared" si="42"/>
        <v>Valid</v>
      </c>
      <c r="S476" t="str">
        <f t="shared" si="43"/>
        <v>Valid</v>
      </c>
      <c r="T476" t="str">
        <f t="shared" si="44"/>
        <v>Valid</v>
      </c>
      <c r="U476" t="str">
        <f t="shared" si="45"/>
        <v>Valid</v>
      </c>
      <c r="V476" t="str">
        <f t="shared" si="46"/>
        <v>Valid</v>
      </c>
      <c r="W476" t="str">
        <f t="shared" si="47"/>
        <v>Outlier</v>
      </c>
    </row>
    <row r="477" spans="1:23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  <c r="Q477" t="str">
        <f>IF(COUNTIF($A$2:A477,A477)&gt;1,"Duplicate","Unique")</f>
        <v>Unique</v>
      </c>
      <c r="R477" t="str">
        <f t="shared" si="42"/>
        <v>Valid</v>
      </c>
      <c r="S477" t="str">
        <f t="shared" si="43"/>
        <v>Valid</v>
      </c>
      <c r="T477" t="str">
        <f t="shared" si="44"/>
        <v>Valid</v>
      </c>
      <c r="U477" t="str">
        <f t="shared" si="45"/>
        <v>Valid</v>
      </c>
      <c r="V477" t="str">
        <f t="shared" si="46"/>
        <v>Valid</v>
      </c>
      <c r="W477" t="str">
        <f t="shared" si="47"/>
        <v>Outlier</v>
      </c>
    </row>
    <row r="478" spans="1:23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  <c r="Q478" t="str">
        <f>IF(COUNTIF($A$2:A478,A478)&gt;1,"Duplicate","Unique")</f>
        <v>Unique</v>
      </c>
      <c r="R478" t="str">
        <f t="shared" si="42"/>
        <v>Valid</v>
      </c>
      <c r="S478" t="str">
        <f t="shared" si="43"/>
        <v>Valid</v>
      </c>
      <c r="T478" t="str">
        <f t="shared" si="44"/>
        <v>Valid</v>
      </c>
      <c r="U478" t="str">
        <f t="shared" si="45"/>
        <v>Valid</v>
      </c>
      <c r="V478" t="str">
        <f t="shared" si="46"/>
        <v>Valid</v>
      </c>
      <c r="W478" t="str">
        <f t="shared" si="47"/>
        <v>Outlier</v>
      </c>
    </row>
    <row r="479" spans="1:23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  <c r="Q479" t="str">
        <f>IF(COUNTIF($A$2:A479,A479)&gt;1,"Duplicate","Unique")</f>
        <v>Unique</v>
      </c>
      <c r="R479" t="str">
        <f t="shared" si="42"/>
        <v>Valid</v>
      </c>
      <c r="S479" t="str">
        <f t="shared" si="43"/>
        <v>Valid</v>
      </c>
      <c r="T479" t="str">
        <f t="shared" si="44"/>
        <v>Valid</v>
      </c>
      <c r="U479" t="str">
        <f t="shared" si="45"/>
        <v>Valid</v>
      </c>
      <c r="V479" t="str">
        <f t="shared" si="46"/>
        <v>Valid</v>
      </c>
      <c r="W479" t="str">
        <f t="shared" si="47"/>
        <v>Outlier</v>
      </c>
    </row>
    <row r="480" spans="1:23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  <c r="Q480" t="str">
        <f>IF(COUNTIF($A$2:A480,A480)&gt;1,"Duplicate","Unique")</f>
        <v>Unique</v>
      </c>
      <c r="R480" t="str">
        <f t="shared" si="42"/>
        <v>Valid</v>
      </c>
      <c r="S480" t="str">
        <f t="shared" si="43"/>
        <v>Valid</v>
      </c>
      <c r="T480" t="str">
        <f t="shared" si="44"/>
        <v>Valid</v>
      </c>
      <c r="U480" t="str">
        <f t="shared" si="45"/>
        <v>Valid</v>
      </c>
      <c r="V480" t="str">
        <f t="shared" si="46"/>
        <v>Valid</v>
      </c>
      <c r="W480" t="str">
        <f t="shared" si="47"/>
        <v>Outlier</v>
      </c>
    </row>
    <row r="481" spans="1:23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  <c r="Q481" t="str">
        <f>IF(COUNTIF($A$2:A481,A481)&gt;1,"Duplicate","Unique")</f>
        <v>Unique</v>
      </c>
      <c r="R481" t="str">
        <f t="shared" si="42"/>
        <v>Valid</v>
      </c>
      <c r="S481" t="str">
        <f t="shared" si="43"/>
        <v>Valid</v>
      </c>
      <c r="T481" t="str">
        <f t="shared" si="44"/>
        <v>Valid</v>
      </c>
      <c r="U481" t="str">
        <f t="shared" si="45"/>
        <v>Valid</v>
      </c>
      <c r="V481" t="str">
        <f t="shared" si="46"/>
        <v>Valid</v>
      </c>
      <c r="W481" t="str">
        <f t="shared" si="47"/>
        <v>Outlier</v>
      </c>
    </row>
    <row r="482" spans="1:23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  <c r="Q482" t="str">
        <f>IF(COUNTIF($A$2:A482,A482)&gt;1,"Duplicate","Unique")</f>
        <v>Unique</v>
      </c>
      <c r="R482" t="str">
        <f t="shared" si="42"/>
        <v>Valid</v>
      </c>
      <c r="S482" t="str">
        <f t="shared" si="43"/>
        <v>Valid</v>
      </c>
      <c r="T482" t="str">
        <f t="shared" si="44"/>
        <v>Valid</v>
      </c>
      <c r="U482" t="str">
        <f t="shared" si="45"/>
        <v>Valid</v>
      </c>
      <c r="V482" t="str">
        <f t="shared" si="46"/>
        <v>Valid</v>
      </c>
      <c r="W482" t="str">
        <f t="shared" si="47"/>
        <v>Outlier</v>
      </c>
    </row>
    <row r="483" spans="1:23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  <c r="Q483" t="str">
        <f>IF(COUNTIF($A$2:A483,A483)&gt;1,"Duplicate","Unique")</f>
        <v>Unique</v>
      </c>
      <c r="R483" t="str">
        <f t="shared" si="42"/>
        <v>Valid</v>
      </c>
      <c r="S483" t="str">
        <f t="shared" si="43"/>
        <v>Valid</v>
      </c>
      <c r="T483" t="str">
        <f t="shared" si="44"/>
        <v>Valid</v>
      </c>
      <c r="U483" t="str">
        <f t="shared" si="45"/>
        <v>Valid</v>
      </c>
      <c r="V483" t="str">
        <f t="shared" si="46"/>
        <v>Valid</v>
      </c>
      <c r="W483" t="str">
        <f t="shared" si="47"/>
        <v>Outlier</v>
      </c>
    </row>
    <row r="484" spans="1:23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  <c r="Q484" t="str">
        <f>IF(COUNTIF($A$2:A484,A484)&gt;1,"Duplicate","Unique")</f>
        <v>Unique</v>
      </c>
      <c r="R484" t="str">
        <f t="shared" si="42"/>
        <v>Valid</v>
      </c>
      <c r="S484" t="str">
        <f t="shared" si="43"/>
        <v>Valid</v>
      </c>
      <c r="T484" t="str">
        <f t="shared" si="44"/>
        <v>Valid</v>
      </c>
      <c r="U484" t="str">
        <f t="shared" si="45"/>
        <v>Valid</v>
      </c>
      <c r="V484" t="str">
        <f t="shared" si="46"/>
        <v>Valid</v>
      </c>
      <c r="W484" t="str">
        <f t="shared" si="47"/>
        <v>Outlier</v>
      </c>
    </row>
    <row r="485" spans="1:23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  <c r="Q485" t="str">
        <f>IF(COUNTIF($A$2:A485,A485)&gt;1,"Duplicate","Unique")</f>
        <v>Unique</v>
      </c>
      <c r="R485" t="str">
        <f t="shared" si="42"/>
        <v>Valid</v>
      </c>
      <c r="S485" t="str">
        <f t="shared" si="43"/>
        <v>Valid</v>
      </c>
      <c r="T485" t="str">
        <f t="shared" si="44"/>
        <v>Valid</v>
      </c>
      <c r="U485" t="str">
        <f t="shared" si="45"/>
        <v>Valid</v>
      </c>
      <c r="V485" t="str">
        <f t="shared" si="46"/>
        <v>Valid</v>
      </c>
      <c r="W485" t="str">
        <f t="shared" si="47"/>
        <v>Outlier</v>
      </c>
    </row>
    <row r="486" spans="1:23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  <c r="Q486" t="str">
        <f>IF(COUNTIF($A$2:A486,A486)&gt;1,"Duplicate","Unique")</f>
        <v>Unique</v>
      </c>
      <c r="R486" t="str">
        <f t="shared" si="42"/>
        <v>Valid</v>
      </c>
      <c r="S486" t="str">
        <f t="shared" si="43"/>
        <v>Valid</v>
      </c>
      <c r="T486" t="str">
        <f t="shared" si="44"/>
        <v>Valid</v>
      </c>
      <c r="U486" t="str">
        <f t="shared" si="45"/>
        <v>Valid</v>
      </c>
      <c r="V486" t="str">
        <f t="shared" si="46"/>
        <v>Valid</v>
      </c>
      <c r="W486" t="str">
        <f t="shared" si="47"/>
        <v>Outlier</v>
      </c>
    </row>
    <row r="487" spans="1:23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  <c r="Q487" t="str">
        <f>IF(COUNTIF($A$2:A487,A487)&gt;1,"Duplicate","Unique")</f>
        <v>Unique</v>
      </c>
      <c r="R487" t="str">
        <f t="shared" si="42"/>
        <v>Valid</v>
      </c>
      <c r="S487" t="str">
        <f t="shared" si="43"/>
        <v>Valid</v>
      </c>
      <c r="T487" t="str">
        <f t="shared" si="44"/>
        <v>Valid</v>
      </c>
      <c r="U487" t="str">
        <f t="shared" si="45"/>
        <v>Valid</v>
      </c>
      <c r="V487" t="str">
        <f t="shared" si="46"/>
        <v>Valid</v>
      </c>
      <c r="W487" t="str">
        <f t="shared" si="47"/>
        <v>Outlier</v>
      </c>
    </row>
    <row r="488" spans="1:23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  <c r="Q488" t="str">
        <f>IF(COUNTIF($A$2:A488,A488)&gt;1,"Duplicate","Unique")</f>
        <v>Unique</v>
      </c>
      <c r="R488" t="str">
        <f t="shared" si="42"/>
        <v>Valid</v>
      </c>
      <c r="S488" t="str">
        <f t="shared" si="43"/>
        <v>Valid</v>
      </c>
      <c r="T488" t="str">
        <f t="shared" si="44"/>
        <v>Valid</v>
      </c>
      <c r="U488" t="str">
        <f t="shared" si="45"/>
        <v>Valid</v>
      </c>
      <c r="V488" t="str">
        <f t="shared" si="46"/>
        <v>Valid</v>
      </c>
      <c r="W488" t="str">
        <f t="shared" si="47"/>
        <v>Outlier</v>
      </c>
    </row>
    <row r="489" spans="1:23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  <c r="Q489" t="str">
        <f>IF(COUNTIF($A$2:A489,A489)&gt;1,"Duplicate","Unique")</f>
        <v>Unique</v>
      </c>
      <c r="R489" t="str">
        <f t="shared" si="42"/>
        <v>Valid</v>
      </c>
      <c r="S489" t="str">
        <f t="shared" si="43"/>
        <v>Valid</v>
      </c>
      <c r="T489" t="str">
        <f t="shared" si="44"/>
        <v>Valid</v>
      </c>
      <c r="U489" t="str">
        <f t="shared" si="45"/>
        <v>Valid</v>
      </c>
      <c r="V489" t="str">
        <f t="shared" si="46"/>
        <v>Valid</v>
      </c>
      <c r="W489" t="str">
        <f t="shared" si="47"/>
        <v>Outlier</v>
      </c>
    </row>
    <row r="490" spans="1:23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  <c r="Q490" t="str">
        <f>IF(COUNTIF($A$2:A490,A490)&gt;1,"Duplicate","Unique")</f>
        <v>Unique</v>
      </c>
      <c r="R490" t="str">
        <f t="shared" si="42"/>
        <v>Valid</v>
      </c>
      <c r="S490" t="str">
        <f t="shared" si="43"/>
        <v>Valid</v>
      </c>
      <c r="T490" t="str">
        <f t="shared" si="44"/>
        <v>Valid</v>
      </c>
      <c r="U490" t="str">
        <f t="shared" si="45"/>
        <v>Valid</v>
      </c>
      <c r="V490" t="str">
        <f t="shared" si="46"/>
        <v>Valid</v>
      </c>
      <c r="W490" t="str">
        <f t="shared" si="47"/>
        <v>Outlier</v>
      </c>
    </row>
    <row r="491" spans="1:23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  <c r="Q491" t="str">
        <f>IF(COUNTIF($A$2:A491,A491)&gt;1,"Duplicate","Unique")</f>
        <v>Unique</v>
      </c>
      <c r="R491" t="str">
        <f t="shared" si="42"/>
        <v>Valid</v>
      </c>
      <c r="S491" t="str">
        <f t="shared" si="43"/>
        <v>Valid</v>
      </c>
      <c r="T491" t="str">
        <f t="shared" si="44"/>
        <v>Valid</v>
      </c>
      <c r="U491" t="str">
        <f t="shared" si="45"/>
        <v>Valid</v>
      </c>
      <c r="V491" t="str">
        <f t="shared" si="46"/>
        <v>Valid</v>
      </c>
      <c r="W491" t="str">
        <f t="shared" si="47"/>
        <v>Outlier</v>
      </c>
    </row>
    <row r="492" spans="1:23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  <c r="Q492" t="str">
        <f>IF(COUNTIF($A$2:A492,A492)&gt;1,"Duplicate","Unique")</f>
        <v>Unique</v>
      </c>
      <c r="R492" t="str">
        <f t="shared" si="42"/>
        <v>Valid</v>
      </c>
      <c r="S492" t="str">
        <f t="shared" si="43"/>
        <v>Valid</v>
      </c>
      <c r="T492" t="str">
        <f t="shared" si="44"/>
        <v>Valid</v>
      </c>
      <c r="U492" t="str">
        <f t="shared" si="45"/>
        <v>Valid</v>
      </c>
      <c r="V492" t="str">
        <f t="shared" si="46"/>
        <v>Valid</v>
      </c>
      <c r="W492" t="str">
        <f t="shared" si="47"/>
        <v>Outlier</v>
      </c>
    </row>
    <row r="493" spans="1:23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  <c r="Q493" t="str">
        <f>IF(COUNTIF($A$2:A493,A493)&gt;1,"Duplicate","Unique")</f>
        <v>Unique</v>
      </c>
      <c r="R493" t="str">
        <f t="shared" si="42"/>
        <v>Valid</v>
      </c>
      <c r="S493" t="str">
        <f t="shared" si="43"/>
        <v>Valid</v>
      </c>
      <c r="T493" t="str">
        <f t="shared" si="44"/>
        <v>Valid</v>
      </c>
      <c r="U493" t="str">
        <f t="shared" si="45"/>
        <v>Valid</v>
      </c>
      <c r="V493" t="str">
        <f t="shared" si="46"/>
        <v>Valid</v>
      </c>
      <c r="W493" t="str">
        <f t="shared" si="47"/>
        <v>Outlier</v>
      </c>
    </row>
    <row r="494" spans="1:23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  <c r="Q494" t="str">
        <f>IF(COUNTIF($A$2:A494,A494)&gt;1,"Duplicate","Unique")</f>
        <v>Unique</v>
      </c>
      <c r="R494" t="str">
        <f t="shared" si="42"/>
        <v>Valid</v>
      </c>
      <c r="S494" t="str">
        <f t="shared" si="43"/>
        <v>Valid</v>
      </c>
      <c r="T494" t="str">
        <f t="shared" si="44"/>
        <v>Valid</v>
      </c>
      <c r="U494" t="str">
        <f t="shared" si="45"/>
        <v>Valid</v>
      </c>
      <c r="V494" t="str">
        <f t="shared" si="46"/>
        <v>Valid</v>
      </c>
      <c r="W494" t="str">
        <f t="shared" si="47"/>
        <v>Outlier</v>
      </c>
    </row>
    <row r="495" spans="1:23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  <c r="Q495" t="str">
        <f>IF(COUNTIF($A$2:A495,A495)&gt;1,"Duplicate","Unique")</f>
        <v>Unique</v>
      </c>
      <c r="R495" t="str">
        <f t="shared" si="42"/>
        <v>Valid</v>
      </c>
      <c r="S495" t="str">
        <f t="shared" si="43"/>
        <v>Valid</v>
      </c>
      <c r="T495" t="str">
        <f t="shared" si="44"/>
        <v>Valid</v>
      </c>
      <c r="U495" t="str">
        <f t="shared" si="45"/>
        <v>Valid</v>
      </c>
      <c r="V495" t="str">
        <f t="shared" si="46"/>
        <v>Valid</v>
      </c>
      <c r="W495" t="str">
        <f t="shared" si="47"/>
        <v>Outlier</v>
      </c>
    </row>
    <row r="496" spans="1:23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  <c r="Q496" t="str">
        <f>IF(COUNTIF($A$2:A496,A496)&gt;1,"Duplicate","Unique")</f>
        <v>Unique</v>
      </c>
      <c r="R496" t="str">
        <f t="shared" si="42"/>
        <v>Valid</v>
      </c>
      <c r="S496" t="str">
        <f t="shared" si="43"/>
        <v>Valid</v>
      </c>
      <c r="T496" t="str">
        <f t="shared" si="44"/>
        <v>Valid</v>
      </c>
      <c r="U496" t="str">
        <f t="shared" si="45"/>
        <v>Valid</v>
      </c>
      <c r="V496" t="str">
        <f t="shared" si="46"/>
        <v>Valid</v>
      </c>
      <c r="W496" t="str">
        <f t="shared" si="47"/>
        <v>Outlier</v>
      </c>
    </row>
    <row r="497" spans="1:23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  <c r="Q497" t="str">
        <f>IF(COUNTIF($A$2:A497,A497)&gt;1,"Duplicate","Unique")</f>
        <v>Unique</v>
      </c>
      <c r="R497" t="str">
        <f t="shared" si="42"/>
        <v>Valid</v>
      </c>
      <c r="S497" t="str">
        <f t="shared" si="43"/>
        <v>Valid</v>
      </c>
      <c r="T497" t="str">
        <f t="shared" si="44"/>
        <v>Valid</v>
      </c>
      <c r="U497" t="str">
        <f t="shared" si="45"/>
        <v>Valid</v>
      </c>
      <c r="V497" t="str">
        <f t="shared" si="46"/>
        <v>Valid</v>
      </c>
      <c r="W497" t="str">
        <f t="shared" si="47"/>
        <v>Outlier</v>
      </c>
    </row>
    <row r="498" spans="1:23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  <c r="Q498" t="str">
        <f>IF(COUNTIF($A$2:A498,A498)&gt;1,"Duplicate","Unique")</f>
        <v>Unique</v>
      </c>
      <c r="R498" t="str">
        <f t="shared" si="42"/>
        <v>Valid</v>
      </c>
      <c r="S498" t="str">
        <f t="shared" si="43"/>
        <v>Valid</v>
      </c>
      <c r="T498" t="str">
        <f t="shared" si="44"/>
        <v>Valid</v>
      </c>
      <c r="U498" t="str">
        <f t="shared" si="45"/>
        <v>Valid</v>
      </c>
      <c r="V498" t="str">
        <f t="shared" si="46"/>
        <v>Valid</v>
      </c>
      <c r="W498" t="str">
        <f t="shared" si="47"/>
        <v>Outlier</v>
      </c>
    </row>
    <row r="499" spans="1:23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  <c r="Q499" t="str">
        <f>IF(COUNTIF($A$2:A499,A499)&gt;1,"Duplicate","Unique")</f>
        <v>Unique</v>
      </c>
      <c r="R499" t="str">
        <f t="shared" si="42"/>
        <v>Valid</v>
      </c>
      <c r="S499" t="str">
        <f t="shared" si="43"/>
        <v>Valid</v>
      </c>
      <c r="T499" t="str">
        <f t="shared" si="44"/>
        <v>Valid</v>
      </c>
      <c r="U499" t="str">
        <f t="shared" si="45"/>
        <v>Valid</v>
      </c>
      <c r="V499" t="str">
        <f t="shared" si="46"/>
        <v>Valid</v>
      </c>
      <c r="W499" t="str">
        <f t="shared" si="47"/>
        <v>Outlier</v>
      </c>
    </row>
    <row r="500" spans="1:23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  <c r="Q500" t="str">
        <f>IF(COUNTIF($A$2:A500,A500)&gt;1,"Duplicate","Unique")</f>
        <v>Unique</v>
      </c>
      <c r="R500" t="str">
        <f t="shared" si="42"/>
        <v>Valid</v>
      </c>
      <c r="S500" t="str">
        <f t="shared" si="43"/>
        <v>Valid</v>
      </c>
      <c r="T500" t="str">
        <f t="shared" si="44"/>
        <v>Valid</v>
      </c>
      <c r="U500" t="str">
        <f t="shared" si="45"/>
        <v>Valid</v>
      </c>
      <c r="V500" t="str">
        <f t="shared" si="46"/>
        <v>Valid</v>
      </c>
      <c r="W500" t="str">
        <f t="shared" si="47"/>
        <v>Outlier</v>
      </c>
    </row>
    <row r="501" spans="1:23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  <c r="Q501" t="str">
        <f>IF(COUNTIF($A$2:A501,A501)&gt;1,"Duplicate","Unique")</f>
        <v>Unique</v>
      </c>
      <c r="R501" t="str">
        <f t="shared" si="42"/>
        <v>Valid</v>
      </c>
      <c r="S501" t="str">
        <f t="shared" si="43"/>
        <v>Valid</v>
      </c>
      <c r="T501" t="str">
        <f t="shared" si="44"/>
        <v>Valid</v>
      </c>
      <c r="U501" t="str">
        <f t="shared" si="45"/>
        <v>Valid</v>
      </c>
      <c r="V501" t="str">
        <f t="shared" si="46"/>
        <v>Valid</v>
      </c>
      <c r="W501" t="str">
        <f t="shared" si="47"/>
        <v>Outlier</v>
      </c>
    </row>
    <row r="502" spans="1:23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  <c r="Q502" t="str">
        <f>IF(COUNTIF($A$2:A502,A502)&gt;1,"Duplicate","Unique")</f>
        <v>Unique</v>
      </c>
      <c r="R502" t="str">
        <f t="shared" si="42"/>
        <v>Valid</v>
      </c>
      <c r="S502" t="str">
        <f t="shared" si="43"/>
        <v>Valid</v>
      </c>
      <c r="T502" t="str">
        <f t="shared" si="44"/>
        <v>Valid</v>
      </c>
      <c r="U502" t="str">
        <f t="shared" si="45"/>
        <v>Valid</v>
      </c>
      <c r="V502" t="str">
        <f t="shared" si="46"/>
        <v>Valid</v>
      </c>
      <c r="W502" t="str">
        <f t="shared" si="47"/>
        <v>Outlier</v>
      </c>
    </row>
    <row r="503" spans="1:23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  <c r="Q503" t="str">
        <f>IF(COUNTIF($A$2:A503,A503)&gt;1,"Duplicate","Unique")</f>
        <v>Unique</v>
      </c>
      <c r="R503" t="str">
        <f t="shared" si="42"/>
        <v>Valid</v>
      </c>
      <c r="S503" t="str">
        <f t="shared" si="43"/>
        <v>Valid</v>
      </c>
      <c r="T503" t="str">
        <f t="shared" si="44"/>
        <v>Valid</v>
      </c>
      <c r="U503" t="str">
        <f t="shared" si="45"/>
        <v>Valid</v>
      </c>
      <c r="V503" t="str">
        <f t="shared" si="46"/>
        <v>Valid</v>
      </c>
      <c r="W503" t="str">
        <f t="shared" si="47"/>
        <v>Outlier</v>
      </c>
    </row>
    <row r="504" spans="1:23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  <c r="Q504" t="str">
        <f>IF(COUNTIF($A$2:A504,A504)&gt;1,"Duplicate","Unique")</f>
        <v>Unique</v>
      </c>
      <c r="R504" t="str">
        <f t="shared" si="42"/>
        <v>Valid</v>
      </c>
      <c r="S504" t="str">
        <f t="shared" si="43"/>
        <v>Valid</v>
      </c>
      <c r="T504" t="str">
        <f t="shared" si="44"/>
        <v>Valid</v>
      </c>
      <c r="U504" t="str">
        <f t="shared" si="45"/>
        <v>Valid</v>
      </c>
      <c r="V504" t="str">
        <f t="shared" si="46"/>
        <v>Valid</v>
      </c>
      <c r="W504" t="str">
        <f t="shared" si="47"/>
        <v>Outlier</v>
      </c>
    </row>
    <row r="505" spans="1:23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  <c r="Q505" t="str">
        <f>IF(COUNTIF($A$2:A505,A505)&gt;1,"Duplicate","Unique")</f>
        <v>Unique</v>
      </c>
      <c r="R505" t="str">
        <f t="shared" si="42"/>
        <v>Valid</v>
      </c>
      <c r="S505" t="str">
        <f t="shared" si="43"/>
        <v>Valid</v>
      </c>
      <c r="T505" t="str">
        <f t="shared" si="44"/>
        <v>Valid</v>
      </c>
      <c r="U505" t="str">
        <f t="shared" si="45"/>
        <v>Valid</v>
      </c>
      <c r="V505" t="str">
        <f t="shared" si="46"/>
        <v>Valid</v>
      </c>
      <c r="W505" t="str">
        <f t="shared" si="47"/>
        <v>Outlier</v>
      </c>
    </row>
    <row r="506" spans="1:23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  <c r="Q506" t="str">
        <f>IF(COUNTIF($A$2:A506,A506)&gt;1,"Duplicate","Unique")</f>
        <v>Unique</v>
      </c>
      <c r="R506" t="str">
        <f t="shared" si="42"/>
        <v>Valid</v>
      </c>
      <c r="S506" t="str">
        <f t="shared" si="43"/>
        <v>Valid</v>
      </c>
      <c r="T506" t="str">
        <f t="shared" si="44"/>
        <v>Valid</v>
      </c>
      <c r="U506" t="str">
        <f t="shared" si="45"/>
        <v>Valid</v>
      </c>
      <c r="V506" t="str">
        <f t="shared" si="46"/>
        <v>Valid</v>
      </c>
      <c r="W506" t="str">
        <f t="shared" si="47"/>
        <v>Outlier</v>
      </c>
    </row>
    <row r="507" spans="1:23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  <c r="Q507" t="str">
        <f>IF(COUNTIF($A$2:A507,A507)&gt;1,"Duplicate","Unique")</f>
        <v>Unique</v>
      </c>
      <c r="R507" t="str">
        <f t="shared" si="42"/>
        <v>Valid</v>
      </c>
      <c r="S507" t="str">
        <f t="shared" si="43"/>
        <v>Valid</v>
      </c>
      <c r="T507" t="str">
        <f t="shared" si="44"/>
        <v>Valid</v>
      </c>
      <c r="U507" t="str">
        <f t="shared" si="45"/>
        <v>Valid</v>
      </c>
      <c r="V507" t="str">
        <f t="shared" si="46"/>
        <v>Valid</v>
      </c>
      <c r="W507" t="str">
        <f t="shared" si="47"/>
        <v>Outlier</v>
      </c>
    </row>
    <row r="508" spans="1:23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  <c r="Q508" t="str">
        <f>IF(COUNTIF($A$2:A508,A508)&gt;1,"Duplicate","Unique")</f>
        <v>Unique</v>
      </c>
      <c r="R508" t="str">
        <f t="shared" si="42"/>
        <v>Valid</v>
      </c>
      <c r="S508" t="str">
        <f t="shared" si="43"/>
        <v>Valid</v>
      </c>
      <c r="T508" t="str">
        <f t="shared" si="44"/>
        <v>Valid</v>
      </c>
      <c r="U508" t="str">
        <f t="shared" si="45"/>
        <v>Valid</v>
      </c>
      <c r="V508" t="str">
        <f t="shared" si="46"/>
        <v>Valid</v>
      </c>
      <c r="W508" t="str">
        <f t="shared" si="47"/>
        <v>Outlier</v>
      </c>
    </row>
    <row r="509" spans="1:23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  <c r="Q509" t="str">
        <f>IF(COUNTIF($A$2:A509,A509)&gt;1,"Duplicate","Unique")</f>
        <v>Unique</v>
      </c>
      <c r="R509" t="str">
        <f t="shared" si="42"/>
        <v>Valid</v>
      </c>
      <c r="S509" t="str">
        <f t="shared" si="43"/>
        <v>Valid</v>
      </c>
      <c r="T509" t="str">
        <f t="shared" si="44"/>
        <v>Valid</v>
      </c>
      <c r="U509" t="str">
        <f t="shared" si="45"/>
        <v>Valid</v>
      </c>
      <c r="V509" t="str">
        <f t="shared" si="46"/>
        <v>Valid</v>
      </c>
      <c r="W509" t="str">
        <f t="shared" si="47"/>
        <v>Outlier</v>
      </c>
    </row>
    <row r="510" spans="1:23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  <c r="Q510" t="str">
        <f>IF(COUNTIF($A$2:A510,A510)&gt;1,"Duplicate","Unique")</f>
        <v>Unique</v>
      </c>
      <c r="R510" t="str">
        <f t="shared" si="42"/>
        <v>Valid</v>
      </c>
      <c r="S510" t="str">
        <f t="shared" si="43"/>
        <v>Valid</v>
      </c>
      <c r="T510" t="str">
        <f t="shared" si="44"/>
        <v>Valid</v>
      </c>
      <c r="U510" t="str">
        <f t="shared" si="45"/>
        <v>Valid</v>
      </c>
      <c r="V510" t="str">
        <f t="shared" si="46"/>
        <v>Valid</v>
      </c>
      <c r="W510" t="str">
        <f t="shared" si="47"/>
        <v>Outlier</v>
      </c>
    </row>
    <row r="511" spans="1:23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  <c r="Q511" t="str">
        <f>IF(COUNTIF($A$2:A511,A511)&gt;1,"Duplicate","Unique")</f>
        <v>Unique</v>
      </c>
      <c r="R511" t="str">
        <f t="shared" si="42"/>
        <v>Valid</v>
      </c>
      <c r="S511" t="str">
        <f t="shared" si="43"/>
        <v>Valid</v>
      </c>
      <c r="T511" t="str">
        <f t="shared" si="44"/>
        <v>Valid</v>
      </c>
      <c r="U511" t="str">
        <f t="shared" si="45"/>
        <v>Valid</v>
      </c>
      <c r="V511" t="str">
        <f t="shared" si="46"/>
        <v>Valid</v>
      </c>
      <c r="W511" t="str">
        <f t="shared" si="47"/>
        <v>Outlier</v>
      </c>
    </row>
    <row r="512" spans="1:23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  <c r="Q512" t="str">
        <f>IF(COUNTIF($A$2:A512,A512)&gt;1,"Duplicate","Unique")</f>
        <v>Unique</v>
      </c>
      <c r="R512" t="str">
        <f t="shared" si="42"/>
        <v>Valid</v>
      </c>
      <c r="S512" t="str">
        <f t="shared" si="43"/>
        <v>Valid</v>
      </c>
      <c r="T512" t="str">
        <f t="shared" si="44"/>
        <v>Valid</v>
      </c>
      <c r="U512" t="str">
        <f t="shared" si="45"/>
        <v>Valid</v>
      </c>
      <c r="V512" t="str">
        <f t="shared" si="46"/>
        <v>Valid</v>
      </c>
      <c r="W512" t="str">
        <f t="shared" si="47"/>
        <v>Outlier</v>
      </c>
    </row>
    <row r="513" spans="1:23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  <c r="Q513" t="str">
        <f>IF(COUNTIF($A$2:A513,A513)&gt;1,"Duplicate","Unique")</f>
        <v>Unique</v>
      </c>
      <c r="R513" t="str">
        <f t="shared" si="42"/>
        <v>Valid</v>
      </c>
      <c r="S513" t="str">
        <f t="shared" si="43"/>
        <v>Valid</v>
      </c>
      <c r="T513" t="str">
        <f t="shared" si="44"/>
        <v>Valid</v>
      </c>
      <c r="U513" t="str">
        <f t="shared" si="45"/>
        <v>Valid</v>
      </c>
      <c r="V513" t="str">
        <f t="shared" si="46"/>
        <v>Valid</v>
      </c>
      <c r="W513" t="str">
        <f t="shared" si="47"/>
        <v>Outlier</v>
      </c>
    </row>
    <row r="514" spans="1:23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  <c r="Q514" t="str">
        <f>IF(COUNTIF($A$2:A514,A514)&gt;1,"Duplicate","Unique")</f>
        <v>Unique</v>
      </c>
      <c r="R514" t="str">
        <f t="shared" si="42"/>
        <v>Valid</v>
      </c>
      <c r="S514" t="str">
        <f t="shared" si="43"/>
        <v>Valid</v>
      </c>
      <c r="T514" t="str">
        <f t="shared" si="44"/>
        <v>Valid</v>
      </c>
      <c r="U514" t="str">
        <f t="shared" si="45"/>
        <v>Valid</v>
      </c>
      <c r="V514" t="str">
        <f t="shared" si="46"/>
        <v>Valid</v>
      </c>
      <c r="W514" t="str">
        <f t="shared" si="47"/>
        <v>Outlier</v>
      </c>
    </row>
    <row r="515" spans="1:23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  <c r="Q515" t="str">
        <f>IF(COUNTIF($A$2:A515,A515)&gt;1,"Duplicate","Unique")</f>
        <v>Unique</v>
      </c>
      <c r="R515" t="str">
        <f t="shared" ref="R515:R578" si="48">IF(OR(H515=0,H515=1),"Valid","Invalid")</f>
        <v>Valid</v>
      </c>
      <c r="S515" t="str">
        <f t="shared" ref="S515:S578" si="49">IF(OR(I515=0,I515=1),"Valid","Invalid")</f>
        <v>Valid</v>
      </c>
      <c r="T515" t="str">
        <f t="shared" ref="T515:T578" si="50">IF(OR(J515=0,J515=1),"Valid","Invalid")</f>
        <v>Valid</v>
      </c>
      <c r="U515" t="str">
        <f t="shared" ref="U515:U578" si="51">IF(OR(K515=0,K515=1),"Valid","Invalid")</f>
        <v>Valid</v>
      </c>
      <c r="V515" t="str">
        <f t="shared" ref="V515:V578" si="52">IF(OR(N515=0,N515=1),"Valid","Invalid")</f>
        <v>Valid</v>
      </c>
      <c r="W515" t="str">
        <f t="shared" ref="W515:W578" si="53">IF(OR(L515&lt;$B$23,L515&gt;$B$24),"Outlier","Normal")</f>
        <v>Outlier</v>
      </c>
    </row>
    <row r="516" spans="1:23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  <c r="Q516" t="str">
        <f>IF(COUNTIF($A$2:A516,A516)&gt;1,"Duplicate","Unique")</f>
        <v>Unique</v>
      </c>
      <c r="R516" t="str">
        <f t="shared" si="48"/>
        <v>Valid</v>
      </c>
      <c r="S516" t="str">
        <f t="shared" si="49"/>
        <v>Valid</v>
      </c>
      <c r="T516" t="str">
        <f t="shared" si="50"/>
        <v>Valid</v>
      </c>
      <c r="U516" t="str">
        <f t="shared" si="51"/>
        <v>Valid</v>
      </c>
      <c r="V516" t="str">
        <f t="shared" si="52"/>
        <v>Valid</v>
      </c>
      <c r="W516" t="str">
        <f t="shared" si="53"/>
        <v>Outlier</v>
      </c>
    </row>
    <row r="517" spans="1:23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  <c r="Q517" t="str">
        <f>IF(COUNTIF($A$2:A517,A517)&gt;1,"Duplicate","Unique")</f>
        <v>Unique</v>
      </c>
      <c r="R517" t="str">
        <f t="shared" si="48"/>
        <v>Valid</v>
      </c>
      <c r="S517" t="str">
        <f t="shared" si="49"/>
        <v>Valid</v>
      </c>
      <c r="T517" t="str">
        <f t="shared" si="50"/>
        <v>Valid</v>
      </c>
      <c r="U517" t="str">
        <f t="shared" si="51"/>
        <v>Valid</v>
      </c>
      <c r="V517" t="str">
        <f t="shared" si="52"/>
        <v>Valid</v>
      </c>
      <c r="W517" t="str">
        <f t="shared" si="53"/>
        <v>Outlier</v>
      </c>
    </row>
    <row r="518" spans="1:23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  <c r="Q518" t="str">
        <f>IF(COUNTIF($A$2:A518,A518)&gt;1,"Duplicate","Unique")</f>
        <v>Unique</v>
      </c>
      <c r="R518" t="str">
        <f t="shared" si="48"/>
        <v>Valid</v>
      </c>
      <c r="S518" t="str">
        <f t="shared" si="49"/>
        <v>Valid</v>
      </c>
      <c r="T518" t="str">
        <f t="shared" si="50"/>
        <v>Valid</v>
      </c>
      <c r="U518" t="str">
        <f t="shared" si="51"/>
        <v>Valid</v>
      </c>
      <c r="V518" t="str">
        <f t="shared" si="52"/>
        <v>Valid</v>
      </c>
      <c r="W518" t="str">
        <f t="shared" si="53"/>
        <v>Outlier</v>
      </c>
    </row>
    <row r="519" spans="1:23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  <c r="Q519" t="str">
        <f>IF(COUNTIF($A$2:A519,A519)&gt;1,"Duplicate","Unique")</f>
        <v>Unique</v>
      </c>
      <c r="R519" t="str">
        <f t="shared" si="48"/>
        <v>Valid</v>
      </c>
      <c r="S519" t="str">
        <f t="shared" si="49"/>
        <v>Valid</v>
      </c>
      <c r="T519" t="str">
        <f t="shared" si="50"/>
        <v>Valid</v>
      </c>
      <c r="U519" t="str">
        <f t="shared" si="51"/>
        <v>Valid</v>
      </c>
      <c r="V519" t="str">
        <f t="shared" si="52"/>
        <v>Valid</v>
      </c>
      <c r="W519" t="str">
        <f t="shared" si="53"/>
        <v>Outlier</v>
      </c>
    </row>
    <row r="520" spans="1:23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  <c r="Q520" t="str">
        <f>IF(COUNTIF($A$2:A520,A520)&gt;1,"Duplicate","Unique")</f>
        <v>Unique</v>
      </c>
      <c r="R520" t="str">
        <f t="shared" si="48"/>
        <v>Valid</v>
      </c>
      <c r="S520" t="str">
        <f t="shared" si="49"/>
        <v>Valid</v>
      </c>
      <c r="T520" t="str">
        <f t="shared" si="50"/>
        <v>Valid</v>
      </c>
      <c r="U520" t="str">
        <f t="shared" si="51"/>
        <v>Valid</v>
      </c>
      <c r="V520" t="str">
        <f t="shared" si="52"/>
        <v>Valid</v>
      </c>
      <c r="W520" t="str">
        <f t="shared" si="53"/>
        <v>Outlier</v>
      </c>
    </row>
    <row r="521" spans="1:23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  <c r="Q521" t="str">
        <f>IF(COUNTIF($A$2:A521,A521)&gt;1,"Duplicate","Unique")</f>
        <v>Unique</v>
      </c>
      <c r="R521" t="str">
        <f t="shared" si="48"/>
        <v>Valid</v>
      </c>
      <c r="S521" t="str">
        <f t="shared" si="49"/>
        <v>Valid</v>
      </c>
      <c r="T521" t="str">
        <f t="shared" si="50"/>
        <v>Valid</v>
      </c>
      <c r="U521" t="str">
        <f t="shared" si="51"/>
        <v>Valid</v>
      </c>
      <c r="V521" t="str">
        <f t="shared" si="52"/>
        <v>Valid</v>
      </c>
      <c r="W521" t="str">
        <f t="shared" si="53"/>
        <v>Outlier</v>
      </c>
    </row>
    <row r="522" spans="1:23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  <c r="Q522" t="str">
        <f>IF(COUNTIF($A$2:A522,A522)&gt;1,"Duplicate","Unique")</f>
        <v>Unique</v>
      </c>
      <c r="R522" t="str">
        <f t="shared" si="48"/>
        <v>Valid</v>
      </c>
      <c r="S522" t="str">
        <f t="shared" si="49"/>
        <v>Valid</v>
      </c>
      <c r="T522" t="str">
        <f t="shared" si="50"/>
        <v>Valid</v>
      </c>
      <c r="U522" t="str">
        <f t="shared" si="51"/>
        <v>Valid</v>
      </c>
      <c r="V522" t="str">
        <f t="shared" si="52"/>
        <v>Valid</v>
      </c>
      <c r="W522" t="str">
        <f t="shared" si="53"/>
        <v>Outlier</v>
      </c>
    </row>
    <row r="523" spans="1:23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  <c r="Q523" t="str">
        <f>IF(COUNTIF($A$2:A523,A523)&gt;1,"Duplicate","Unique")</f>
        <v>Unique</v>
      </c>
      <c r="R523" t="str">
        <f t="shared" si="48"/>
        <v>Valid</v>
      </c>
      <c r="S523" t="str">
        <f t="shared" si="49"/>
        <v>Valid</v>
      </c>
      <c r="T523" t="str">
        <f t="shared" si="50"/>
        <v>Valid</v>
      </c>
      <c r="U523" t="str">
        <f t="shared" si="51"/>
        <v>Valid</v>
      </c>
      <c r="V523" t="str">
        <f t="shared" si="52"/>
        <v>Valid</v>
      </c>
      <c r="W523" t="str">
        <f t="shared" si="53"/>
        <v>Outlier</v>
      </c>
    </row>
    <row r="524" spans="1:23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  <c r="Q524" t="str">
        <f>IF(COUNTIF($A$2:A524,A524)&gt;1,"Duplicate","Unique")</f>
        <v>Unique</v>
      </c>
      <c r="R524" t="str">
        <f t="shared" si="48"/>
        <v>Valid</v>
      </c>
      <c r="S524" t="str">
        <f t="shared" si="49"/>
        <v>Valid</v>
      </c>
      <c r="T524" t="str">
        <f t="shared" si="50"/>
        <v>Valid</v>
      </c>
      <c r="U524" t="str">
        <f t="shared" si="51"/>
        <v>Valid</v>
      </c>
      <c r="V524" t="str">
        <f t="shared" si="52"/>
        <v>Valid</v>
      </c>
      <c r="W524" t="str">
        <f t="shared" si="53"/>
        <v>Outlier</v>
      </c>
    </row>
    <row r="525" spans="1:23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  <c r="Q525" t="str">
        <f>IF(COUNTIF($A$2:A525,A525)&gt;1,"Duplicate","Unique")</f>
        <v>Unique</v>
      </c>
      <c r="R525" t="str">
        <f t="shared" si="48"/>
        <v>Valid</v>
      </c>
      <c r="S525" t="str">
        <f t="shared" si="49"/>
        <v>Valid</v>
      </c>
      <c r="T525" t="str">
        <f t="shared" si="50"/>
        <v>Valid</v>
      </c>
      <c r="U525" t="str">
        <f t="shared" si="51"/>
        <v>Valid</v>
      </c>
      <c r="V525" t="str">
        <f t="shared" si="52"/>
        <v>Valid</v>
      </c>
      <c r="W525" t="str">
        <f t="shared" si="53"/>
        <v>Outlier</v>
      </c>
    </row>
    <row r="526" spans="1:23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  <c r="Q526" t="str">
        <f>IF(COUNTIF($A$2:A526,A526)&gt;1,"Duplicate","Unique")</f>
        <v>Unique</v>
      </c>
      <c r="R526" t="str">
        <f t="shared" si="48"/>
        <v>Valid</v>
      </c>
      <c r="S526" t="str">
        <f t="shared" si="49"/>
        <v>Valid</v>
      </c>
      <c r="T526" t="str">
        <f t="shared" si="50"/>
        <v>Valid</v>
      </c>
      <c r="U526" t="str">
        <f t="shared" si="51"/>
        <v>Valid</v>
      </c>
      <c r="V526" t="str">
        <f t="shared" si="52"/>
        <v>Valid</v>
      </c>
      <c r="W526" t="str">
        <f t="shared" si="53"/>
        <v>Outlier</v>
      </c>
    </row>
    <row r="527" spans="1:23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  <c r="Q527" t="str">
        <f>IF(COUNTIF($A$2:A527,A527)&gt;1,"Duplicate","Unique")</f>
        <v>Unique</v>
      </c>
      <c r="R527" t="str">
        <f t="shared" si="48"/>
        <v>Valid</v>
      </c>
      <c r="S527" t="str">
        <f t="shared" si="49"/>
        <v>Valid</v>
      </c>
      <c r="T527" t="str">
        <f t="shared" si="50"/>
        <v>Valid</v>
      </c>
      <c r="U527" t="str">
        <f t="shared" si="51"/>
        <v>Valid</v>
      </c>
      <c r="V527" t="str">
        <f t="shared" si="52"/>
        <v>Valid</v>
      </c>
      <c r="W527" t="str">
        <f t="shared" si="53"/>
        <v>Outlier</v>
      </c>
    </row>
    <row r="528" spans="1:23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  <c r="Q528" t="str">
        <f>IF(COUNTIF($A$2:A528,A528)&gt;1,"Duplicate","Unique")</f>
        <v>Unique</v>
      </c>
      <c r="R528" t="str">
        <f t="shared" si="48"/>
        <v>Valid</v>
      </c>
      <c r="S528" t="str">
        <f t="shared" si="49"/>
        <v>Valid</v>
      </c>
      <c r="T528" t="str">
        <f t="shared" si="50"/>
        <v>Valid</v>
      </c>
      <c r="U528" t="str">
        <f t="shared" si="51"/>
        <v>Valid</v>
      </c>
      <c r="V528" t="str">
        <f t="shared" si="52"/>
        <v>Valid</v>
      </c>
      <c r="W528" t="str">
        <f t="shared" si="53"/>
        <v>Outlier</v>
      </c>
    </row>
    <row r="529" spans="1:23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  <c r="Q529" t="str">
        <f>IF(COUNTIF($A$2:A529,A529)&gt;1,"Duplicate","Unique")</f>
        <v>Unique</v>
      </c>
      <c r="R529" t="str">
        <f t="shared" si="48"/>
        <v>Valid</v>
      </c>
      <c r="S529" t="str">
        <f t="shared" si="49"/>
        <v>Valid</v>
      </c>
      <c r="T529" t="str">
        <f t="shared" si="50"/>
        <v>Valid</v>
      </c>
      <c r="U529" t="str">
        <f t="shared" si="51"/>
        <v>Valid</v>
      </c>
      <c r="V529" t="str">
        <f t="shared" si="52"/>
        <v>Valid</v>
      </c>
      <c r="W529" t="str">
        <f t="shared" si="53"/>
        <v>Outlier</v>
      </c>
    </row>
    <row r="530" spans="1:23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  <c r="Q530" t="str">
        <f>IF(COUNTIF($A$2:A530,A530)&gt;1,"Duplicate","Unique")</f>
        <v>Unique</v>
      </c>
      <c r="R530" t="str">
        <f t="shared" si="48"/>
        <v>Valid</v>
      </c>
      <c r="S530" t="str">
        <f t="shared" si="49"/>
        <v>Valid</v>
      </c>
      <c r="T530" t="str">
        <f t="shared" si="50"/>
        <v>Valid</v>
      </c>
      <c r="U530" t="str">
        <f t="shared" si="51"/>
        <v>Valid</v>
      </c>
      <c r="V530" t="str">
        <f t="shared" si="52"/>
        <v>Valid</v>
      </c>
      <c r="W530" t="str">
        <f t="shared" si="53"/>
        <v>Outlier</v>
      </c>
    </row>
    <row r="531" spans="1:23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  <c r="Q531" t="str">
        <f>IF(COUNTIF($A$2:A531,A531)&gt;1,"Duplicate","Unique")</f>
        <v>Unique</v>
      </c>
      <c r="R531" t="str">
        <f t="shared" si="48"/>
        <v>Valid</v>
      </c>
      <c r="S531" t="str">
        <f t="shared" si="49"/>
        <v>Valid</v>
      </c>
      <c r="T531" t="str">
        <f t="shared" si="50"/>
        <v>Valid</v>
      </c>
      <c r="U531" t="str">
        <f t="shared" si="51"/>
        <v>Valid</v>
      </c>
      <c r="V531" t="str">
        <f t="shared" si="52"/>
        <v>Valid</v>
      </c>
      <c r="W531" t="str">
        <f t="shared" si="53"/>
        <v>Outlier</v>
      </c>
    </row>
    <row r="532" spans="1:23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  <c r="Q532" t="str">
        <f>IF(COUNTIF($A$2:A532,A532)&gt;1,"Duplicate","Unique")</f>
        <v>Unique</v>
      </c>
      <c r="R532" t="str">
        <f t="shared" si="48"/>
        <v>Valid</v>
      </c>
      <c r="S532" t="str">
        <f t="shared" si="49"/>
        <v>Valid</v>
      </c>
      <c r="T532" t="str">
        <f t="shared" si="50"/>
        <v>Valid</v>
      </c>
      <c r="U532" t="str">
        <f t="shared" si="51"/>
        <v>Valid</v>
      </c>
      <c r="V532" t="str">
        <f t="shared" si="52"/>
        <v>Valid</v>
      </c>
      <c r="W532" t="str">
        <f t="shared" si="53"/>
        <v>Outlier</v>
      </c>
    </row>
    <row r="533" spans="1:23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  <c r="Q533" t="str">
        <f>IF(COUNTIF($A$2:A533,A533)&gt;1,"Duplicate","Unique")</f>
        <v>Unique</v>
      </c>
      <c r="R533" t="str">
        <f t="shared" si="48"/>
        <v>Valid</v>
      </c>
      <c r="S533" t="str">
        <f t="shared" si="49"/>
        <v>Valid</v>
      </c>
      <c r="T533" t="str">
        <f t="shared" si="50"/>
        <v>Valid</v>
      </c>
      <c r="U533" t="str">
        <f t="shared" si="51"/>
        <v>Valid</v>
      </c>
      <c r="V533" t="str">
        <f t="shared" si="52"/>
        <v>Valid</v>
      </c>
      <c r="W533" t="str">
        <f t="shared" si="53"/>
        <v>Outlier</v>
      </c>
    </row>
    <row r="534" spans="1:23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  <c r="Q534" t="str">
        <f>IF(COUNTIF($A$2:A534,A534)&gt;1,"Duplicate","Unique")</f>
        <v>Unique</v>
      </c>
      <c r="R534" t="str">
        <f t="shared" si="48"/>
        <v>Valid</v>
      </c>
      <c r="S534" t="str">
        <f t="shared" si="49"/>
        <v>Valid</v>
      </c>
      <c r="T534" t="str">
        <f t="shared" si="50"/>
        <v>Valid</v>
      </c>
      <c r="U534" t="str">
        <f t="shared" si="51"/>
        <v>Valid</v>
      </c>
      <c r="V534" t="str">
        <f t="shared" si="52"/>
        <v>Valid</v>
      </c>
      <c r="W534" t="str">
        <f t="shared" si="53"/>
        <v>Outlier</v>
      </c>
    </row>
    <row r="535" spans="1:23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  <c r="Q535" t="str">
        <f>IF(COUNTIF($A$2:A535,A535)&gt;1,"Duplicate","Unique")</f>
        <v>Unique</v>
      </c>
      <c r="R535" t="str">
        <f t="shared" si="48"/>
        <v>Valid</v>
      </c>
      <c r="S535" t="str">
        <f t="shared" si="49"/>
        <v>Valid</v>
      </c>
      <c r="T535" t="str">
        <f t="shared" si="50"/>
        <v>Valid</v>
      </c>
      <c r="U535" t="str">
        <f t="shared" si="51"/>
        <v>Valid</v>
      </c>
      <c r="V535" t="str">
        <f t="shared" si="52"/>
        <v>Valid</v>
      </c>
      <c r="W535" t="str">
        <f t="shared" si="53"/>
        <v>Outlier</v>
      </c>
    </row>
    <row r="536" spans="1:23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  <c r="Q536" t="str">
        <f>IF(COUNTIF($A$2:A536,A536)&gt;1,"Duplicate","Unique")</f>
        <v>Unique</v>
      </c>
      <c r="R536" t="str">
        <f t="shared" si="48"/>
        <v>Valid</v>
      </c>
      <c r="S536" t="str">
        <f t="shared" si="49"/>
        <v>Valid</v>
      </c>
      <c r="T536" t="str">
        <f t="shared" si="50"/>
        <v>Valid</v>
      </c>
      <c r="U536" t="str">
        <f t="shared" si="51"/>
        <v>Valid</v>
      </c>
      <c r="V536" t="str">
        <f t="shared" si="52"/>
        <v>Valid</v>
      </c>
      <c r="W536" t="str">
        <f t="shared" si="53"/>
        <v>Outlier</v>
      </c>
    </row>
    <row r="537" spans="1:23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  <c r="Q537" t="str">
        <f>IF(COUNTIF($A$2:A537,A537)&gt;1,"Duplicate","Unique")</f>
        <v>Unique</v>
      </c>
      <c r="R537" t="str">
        <f t="shared" si="48"/>
        <v>Valid</v>
      </c>
      <c r="S537" t="str">
        <f t="shared" si="49"/>
        <v>Valid</v>
      </c>
      <c r="T537" t="str">
        <f t="shared" si="50"/>
        <v>Valid</v>
      </c>
      <c r="U537" t="str">
        <f t="shared" si="51"/>
        <v>Valid</v>
      </c>
      <c r="V537" t="str">
        <f t="shared" si="52"/>
        <v>Valid</v>
      </c>
      <c r="W537" t="str">
        <f t="shared" si="53"/>
        <v>Outlier</v>
      </c>
    </row>
    <row r="538" spans="1:23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  <c r="Q538" t="str">
        <f>IF(COUNTIF($A$2:A538,A538)&gt;1,"Duplicate","Unique")</f>
        <v>Unique</v>
      </c>
      <c r="R538" t="str">
        <f t="shared" si="48"/>
        <v>Valid</v>
      </c>
      <c r="S538" t="str">
        <f t="shared" si="49"/>
        <v>Valid</v>
      </c>
      <c r="T538" t="str">
        <f t="shared" si="50"/>
        <v>Valid</v>
      </c>
      <c r="U538" t="str">
        <f t="shared" si="51"/>
        <v>Valid</v>
      </c>
      <c r="V538" t="str">
        <f t="shared" si="52"/>
        <v>Valid</v>
      </c>
      <c r="W538" t="str">
        <f t="shared" si="53"/>
        <v>Outlier</v>
      </c>
    </row>
    <row r="539" spans="1:23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  <c r="Q539" t="str">
        <f>IF(COUNTIF($A$2:A539,A539)&gt;1,"Duplicate","Unique")</f>
        <v>Unique</v>
      </c>
      <c r="R539" t="str">
        <f t="shared" si="48"/>
        <v>Valid</v>
      </c>
      <c r="S539" t="str">
        <f t="shared" si="49"/>
        <v>Valid</v>
      </c>
      <c r="T539" t="str">
        <f t="shared" si="50"/>
        <v>Valid</v>
      </c>
      <c r="U539" t="str">
        <f t="shared" si="51"/>
        <v>Valid</v>
      </c>
      <c r="V539" t="str">
        <f t="shared" si="52"/>
        <v>Valid</v>
      </c>
      <c r="W539" t="str">
        <f t="shared" si="53"/>
        <v>Outlier</v>
      </c>
    </row>
    <row r="540" spans="1:23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  <c r="Q540" t="str">
        <f>IF(COUNTIF($A$2:A540,A540)&gt;1,"Duplicate","Unique")</f>
        <v>Unique</v>
      </c>
      <c r="R540" t="str">
        <f t="shared" si="48"/>
        <v>Valid</v>
      </c>
      <c r="S540" t="str">
        <f t="shared" si="49"/>
        <v>Valid</v>
      </c>
      <c r="T540" t="str">
        <f t="shared" si="50"/>
        <v>Valid</v>
      </c>
      <c r="U540" t="str">
        <f t="shared" si="51"/>
        <v>Valid</v>
      </c>
      <c r="V540" t="str">
        <f t="shared" si="52"/>
        <v>Valid</v>
      </c>
      <c r="W540" t="str">
        <f t="shared" si="53"/>
        <v>Outlier</v>
      </c>
    </row>
    <row r="541" spans="1:23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  <c r="Q541" t="str">
        <f>IF(COUNTIF($A$2:A541,A541)&gt;1,"Duplicate","Unique")</f>
        <v>Unique</v>
      </c>
      <c r="R541" t="str">
        <f t="shared" si="48"/>
        <v>Valid</v>
      </c>
      <c r="S541" t="str">
        <f t="shared" si="49"/>
        <v>Valid</v>
      </c>
      <c r="T541" t="str">
        <f t="shared" si="50"/>
        <v>Valid</v>
      </c>
      <c r="U541" t="str">
        <f t="shared" si="51"/>
        <v>Valid</v>
      </c>
      <c r="V541" t="str">
        <f t="shared" si="52"/>
        <v>Valid</v>
      </c>
      <c r="W541" t="str">
        <f t="shared" si="53"/>
        <v>Outlier</v>
      </c>
    </row>
    <row r="542" spans="1:23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  <c r="Q542" t="str">
        <f>IF(COUNTIF($A$2:A542,A542)&gt;1,"Duplicate","Unique")</f>
        <v>Unique</v>
      </c>
      <c r="R542" t="str">
        <f t="shared" si="48"/>
        <v>Valid</v>
      </c>
      <c r="S542" t="str">
        <f t="shared" si="49"/>
        <v>Valid</v>
      </c>
      <c r="T542" t="str">
        <f t="shared" si="50"/>
        <v>Valid</v>
      </c>
      <c r="U542" t="str">
        <f t="shared" si="51"/>
        <v>Valid</v>
      </c>
      <c r="V542" t="str">
        <f t="shared" si="52"/>
        <v>Valid</v>
      </c>
      <c r="W542" t="str">
        <f t="shared" si="53"/>
        <v>Outlier</v>
      </c>
    </row>
    <row r="543" spans="1:23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  <c r="Q543" t="str">
        <f>IF(COUNTIF($A$2:A543,A543)&gt;1,"Duplicate","Unique")</f>
        <v>Unique</v>
      </c>
      <c r="R543" t="str">
        <f t="shared" si="48"/>
        <v>Valid</v>
      </c>
      <c r="S543" t="str">
        <f t="shared" si="49"/>
        <v>Valid</v>
      </c>
      <c r="T543" t="str">
        <f t="shared" si="50"/>
        <v>Valid</v>
      </c>
      <c r="U543" t="str">
        <f t="shared" si="51"/>
        <v>Valid</v>
      </c>
      <c r="V543" t="str">
        <f t="shared" si="52"/>
        <v>Valid</v>
      </c>
      <c r="W543" t="str">
        <f t="shared" si="53"/>
        <v>Outlier</v>
      </c>
    </row>
    <row r="544" spans="1:23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  <c r="Q544" t="str">
        <f>IF(COUNTIF($A$2:A544,A544)&gt;1,"Duplicate","Unique")</f>
        <v>Unique</v>
      </c>
      <c r="R544" t="str">
        <f t="shared" si="48"/>
        <v>Valid</v>
      </c>
      <c r="S544" t="str">
        <f t="shared" si="49"/>
        <v>Valid</v>
      </c>
      <c r="T544" t="str">
        <f t="shared" si="50"/>
        <v>Valid</v>
      </c>
      <c r="U544" t="str">
        <f t="shared" si="51"/>
        <v>Valid</v>
      </c>
      <c r="V544" t="str">
        <f t="shared" si="52"/>
        <v>Valid</v>
      </c>
      <c r="W544" t="str">
        <f t="shared" si="53"/>
        <v>Outlier</v>
      </c>
    </row>
    <row r="545" spans="1:23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  <c r="Q545" t="str">
        <f>IF(COUNTIF($A$2:A545,A545)&gt;1,"Duplicate","Unique")</f>
        <v>Unique</v>
      </c>
      <c r="R545" t="str">
        <f t="shared" si="48"/>
        <v>Valid</v>
      </c>
      <c r="S545" t="str">
        <f t="shared" si="49"/>
        <v>Valid</v>
      </c>
      <c r="T545" t="str">
        <f t="shared" si="50"/>
        <v>Valid</v>
      </c>
      <c r="U545" t="str">
        <f t="shared" si="51"/>
        <v>Valid</v>
      </c>
      <c r="V545" t="str">
        <f t="shared" si="52"/>
        <v>Valid</v>
      </c>
      <c r="W545" t="str">
        <f t="shared" si="53"/>
        <v>Outlier</v>
      </c>
    </row>
    <row r="546" spans="1:23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Q546" t="str">
        <f>IF(COUNTIF($A$2:A546,A546)&gt;1,"Duplicate","Unique")</f>
        <v>Unique</v>
      </c>
      <c r="R546" t="str">
        <f t="shared" si="48"/>
        <v>Valid</v>
      </c>
      <c r="S546" t="str">
        <f t="shared" si="49"/>
        <v>Valid</v>
      </c>
      <c r="T546" t="str">
        <f t="shared" si="50"/>
        <v>Valid</v>
      </c>
      <c r="U546" t="str">
        <f t="shared" si="51"/>
        <v>Valid</v>
      </c>
      <c r="V546" t="str">
        <f t="shared" si="52"/>
        <v>Valid</v>
      </c>
      <c r="W546" t="str">
        <f t="shared" si="53"/>
        <v>Outlier</v>
      </c>
    </row>
    <row r="547" spans="1:23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  <c r="Q547" t="str">
        <f>IF(COUNTIF($A$2:A547,A547)&gt;1,"Duplicate","Unique")</f>
        <v>Unique</v>
      </c>
      <c r="R547" t="str">
        <f t="shared" si="48"/>
        <v>Valid</v>
      </c>
      <c r="S547" t="str">
        <f t="shared" si="49"/>
        <v>Valid</v>
      </c>
      <c r="T547" t="str">
        <f t="shared" si="50"/>
        <v>Valid</v>
      </c>
      <c r="U547" t="str">
        <f t="shared" si="51"/>
        <v>Valid</v>
      </c>
      <c r="V547" t="str">
        <f t="shared" si="52"/>
        <v>Valid</v>
      </c>
      <c r="W547" t="str">
        <f t="shared" si="53"/>
        <v>Outlier</v>
      </c>
    </row>
    <row r="548" spans="1:23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  <c r="Q548" t="str">
        <f>IF(COUNTIF($A$2:A548,A548)&gt;1,"Duplicate","Unique")</f>
        <v>Unique</v>
      </c>
      <c r="R548" t="str">
        <f t="shared" si="48"/>
        <v>Valid</v>
      </c>
      <c r="S548" t="str">
        <f t="shared" si="49"/>
        <v>Valid</v>
      </c>
      <c r="T548" t="str">
        <f t="shared" si="50"/>
        <v>Valid</v>
      </c>
      <c r="U548" t="str">
        <f t="shared" si="51"/>
        <v>Valid</v>
      </c>
      <c r="V548" t="str">
        <f t="shared" si="52"/>
        <v>Valid</v>
      </c>
      <c r="W548" t="str">
        <f t="shared" si="53"/>
        <v>Outlier</v>
      </c>
    </row>
    <row r="549" spans="1:23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  <c r="Q549" t="str">
        <f>IF(COUNTIF($A$2:A549,A549)&gt;1,"Duplicate","Unique")</f>
        <v>Unique</v>
      </c>
      <c r="R549" t="str">
        <f t="shared" si="48"/>
        <v>Valid</v>
      </c>
      <c r="S549" t="str">
        <f t="shared" si="49"/>
        <v>Valid</v>
      </c>
      <c r="T549" t="str">
        <f t="shared" si="50"/>
        <v>Valid</v>
      </c>
      <c r="U549" t="str">
        <f t="shared" si="51"/>
        <v>Valid</v>
      </c>
      <c r="V549" t="str">
        <f t="shared" si="52"/>
        <v>Valid</v>
      </c>
      <c r="W549" t="str">
        <f t="shared" si="53"/>
        <v>Outlier</v>
      </c>
    </row>
    <row r="550" spans="1:23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  <c r="Q550" t="str">
        <f>IF(COUNTIF($A$2:A550,A550)&gt;1,"Duplicate","Unique")</f>
        <v>Unique</v>
      </c>
      <c r="R550" t="str">
        <f t="shared" si="48"/>
        <v>Valid</v>
      </c>
      <c r="S550" t="str">
        <f t="shared" si="49"/>
        <v>Valid</v>
      </c>
      <c r="T550" t="str">
        <f t="shared" si="50"/>
        <v>Valid</v>
      </c>
      <c r="U550" t="str">
        <f t="shared" si="51"/>
        <v>Valid</v>
      </c>
      <c r="V550" t="str">
        <f t="shared" si="52"/>
        <v>Valid</v>
      </c>
      <c r="W550" t="str">
        <f t="shared" si="53"/>
        <v>Outlier</v>
      </c>
    </row>
    <row r="551" spans="1:23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  <c r="Q551" t="str">
        <f>IF(COUNTIF($A$2:A551,A551)&gt;1,"Duplicate","Unique")</f>
        <v>Unique</v>
      </c>
      <c r="R551" t="str">
        <f t="shared" si="48"/>
        <v>Valid</v>
      </c>
      <c r="S551" t="str">
        <f t="shared" si="49"/>
        <v>Valid</v>
      </c>
      <c r="T551" t="str">
        <f t="shared" si="50"/>
        <v>Valid</v>
      </c>
      <c r="U551" t="str">
        <f t="shared" si="51"/>
        <v>Valid</v>
      </c>
      <c r="V551" t="str">
        <f t="shared" si="52"/>
        <v>Valid</v>
      </c>
      <c r="W551" t="str">
        <f t="shared" si="53"/>
        <v>Outlier</v>
      </c>
    </row>
    <row r="552" spans="1:23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  <c r="Q552" t="str">
        <f>IF(COUNTIF($A$2:A552,A552)&gt;1,"Duplicate","Unique")</f>
        <v>Unique</v>
      </c>
      <c r="R552" t="str">
        <f t="shared" si="48"/>
        <v>Valid</v>
      </c>
      <c r="S552" t="str">
        <f t="shared" si="49"/>
        <v>Valid</v>
      </c>
      <c r="T552" t="str">
        <f t="shared" si="50"/>
        <v>Valid</v>
      </c>
      <c r="U552" t="str">
        <f t="shared" si="51"/>
        <v>Valid</v>
      </c>
      <c r="V552" t="str">
        <f t="shared" si="52"/>
        <v>Valid</v>
      </c>
      <c r="W552" t="str">
        <f t="shared" si="53"/>
        <v>Outlier</v>
      </c>
    </row>
    <row r="553" spans="1:23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  <c r="Q553" t="str">
        <f>IF(COUNTIF($A$2:A553,A553)&gt;1,"Duplicate","Unique")</f>
        <v>Unique</v>
      </c>
      <c r="R553" t="str">
        <f t="shared" si="48"/>
        <v>Valid</v>
      </c>
      <c r="S553" t="str">
        <f t="shared" si="49"/>
        <v>Valid</v>
      </c>
      <c r="T553" t="str">
        <f t="shared" si="50"/>
        <v>Valid</v>
      </c>
      <c r="U553" t="str">
        <f t="shared" si="51"/>
        <v>Valid</v>
      </c>
      <c r="V553" t="str">
        <f t="shared" si="52"/>
        <v>Valid</v>
      </c>
      <c r="W553" t="str">
        <f t="shared" si="53"/>
        <v>Outlier</v>
      </c>
    </row>
    <row r="554" spans="1:23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  <c r="Q554" t="str">
        <f>IF(COUNTIF($A$2:A554,A554)&gt;1,"Duplicate","Unique")</f>
        <v>Unique</v>
      </c>
      <c r="R554" t="str">
        <f t="shared" si="48"/>
        <v>Valid</v>
      </c>
      <c r="S554" t="str">
        <f t="shared" si="49"/>
        <v>Valid</v>
      </c>
      <c r="T554" t="str">
        <f t="shared" si="50"/>
        <v>Valid</v>
      </c>
      <c r="U554" t="str">
        <f t="shared" si="51"/>
        <v>Valid</v>
      </c>
      <c r="V554" t="str">
        <f t="shared" si="52"/>
        <v>Valid</v>
      </c>
      <c r="W554" t="str">
        <f t="shared" si="53"/>
        <v>Outlier</v>
      </c>
    </row>
    <row r="555" spans="1:23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  <c r="Q555" t="str">
        <f>IF(COUNTIF($A$2:A555,A555)&gt;1,"Duplicate","Unique")</f>
        <v>Unique</v>
      </c>
      <c r="R555" t="str">
        <f t="shared" si="48"/>
        <v>Valid</v>
      </c>
      <c r="S555" t="str">
        <f t="shared" si="49"/>
        <v>Valid</v>
      </c>
      <c r="T555" t="str">
        <f t="shared" si="50"/>
        <v>Valid</v>
      </c>
      <c r="U555" t="str">
        <f t="shared" si="51"/>
        <v>Valid</v>
      </c>
      <c r="V555" t="str">
        <f t="shared" si="52"/>
        <v>Valid</v>
      </c>
      <c r="W555" t="str">
        <f t="shared" si="53"/>
        <v>Outlier</v>
      </c>
    </row>
    <row r="556" spans="1:23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  <c r="Q556" t="str">
        <f>IF(COUNTIF($A$2:A556,A556)&gt;1,"Duplicate","Unique")</f>
        <v>Unique</v>
      </c>
      <c r="R556" t="str">
        <f t="shared" si="48"/>
        <v>Valid</v>
      </c>
      <c r="S556" t="str">
        <f t="shared" si="49"/>
        <v>Valid</v>
      </c>
      <c r="T556" t="str">
        <f t="shared" si="50"/>
        <v>Valid</v>
      </c>
      <c r="U556" t="str">
        <f t="shared" si="51"/>
        <v>Valid</v>
      </c>
      <c r="V556" t="str">
        <f t="shared" si="52"/>
        <v>Valid</v>
      </c>
      <c r="W556" t="str">
        <f t="shared" si="53"/>
        <v>Outlier</v>
      </c>
    </row>
    <row r="557" spans="1:23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  <c r="Q557" t="str">
        <f>IF(COUNTIF($A$2:A557,A557)&gt;1,"Duplicate","Unique")</f>
        <v>Unique</v>
      </c>
      <c r="R557" t="str">
        <f t="shared" si="48"/>
        <v>Valid</v>
      </c>
      <c r="S557" t="str">
        <f t="shared" si="49"/>
        <v>Valid</v>
      </c>
      <c r="T557" t="str">
        <f t="shared" si="50"/>
        <v>Valid</v>
      </c>
      <c r="U557" t="str">
        <f t="shared" si="51"/>
        <v>Valid</v>
      </c>
      <c r="V557" t="str">
        <f t="shared" si="52"/>
        <v>Valid</v>
      </c>
      <c r="W557" t="str">
        <f t="shared" si="53"/>
        <v>Outlier</v>
      </c>
    </row>
    <row r="558" spans="1:23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  <c r="Q558" t="str">
        <f>IF(COUNTIF($A$2:A558,A558)&gt;1,"Duplicate","Unique")</f>
        <v>Unique</v>
      </c>
      <c r="R558" t="str">
        <f t="shared" si="48"/>
        <v>Valid</v>
      </c>
      <c r="S558" t="str">
        <f t="shared" si="49"/>
        <v>Valid</v>
      </c>
      <c r="T558" t="str">
        <f t="shared" si="50"/>
        <v>Valid</v>
      </c>
      <c r="U558" t="str">
        <f t="shared" si="51"/>
        <v>Valid</v>
      </c>
      <c r="V558" t="str">
        <f t="shared" si="52"/>
        <v>Valid</v>
      </c>
      <c r="W558" t="str">
        <f t="shared" si="53"/>
        <v>Outlier</v>
      </c>
    </row>
    <row r="559" spans="1:23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  <c r="Q559" t="str">
        <f>IF(COUNTIF($A$2:A559,A559)&gt;1,"Duplicate","Unique")</f>
        <v>Unique</v>
      </c>
      <c r="R559" t="str">
        <f t="shared" si="48"/>
        <v>Valid</v>
      </c>
      <c r="S559" t="str">
        <f t="shared" si="49"/>
        <v>Valid</v>
      </c>
      <c r="T559" t="str">
        <f t="shared" si="50"/>
        <v>Valid</v>
      </c>
      <c r="U559" t="str">
        <f t="shared" si="51"/>
        <v>Valid</v>
      </c>
      <c r="V559" t="str">
        <f t="shared" si="52"/>
        <v>Valid</v>
      </c>
      <c r="W559" t="str">
        <f t="shared" si="53"/>
        <v>Outlier</v>
      </c>
    </row>
    <row r="560" spans="1:23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  <c r="Q560" t="str">
        <f>IF(COUNTIF($A$2:A560,A560)&gt;1,"Duplicate","Unique")</f>
        <v>Unique</v>
      </c>
      <c r="R560" t="str">
        <f t="shared" si="48"/>
        <v>Valid</v>
      </c>
      <c r="S560" t="str">
        <f t="shared" si="49"/>
        <v>Valid</v>
      </c>
      <c r="T560" t="str">
        <f t="shared" si="50"/>
        <v>Valid</v>
      </c>
      <c r="U560" t="str">
        <f t="shared" si="51"/>
        <v>Valid</v>
      </c>
      <c r="V560" t="str">
        <f t="shared" si="52"/>
        <v>Valid</v>
      </c>
      <c r="W560" t="str">
        <f t="shared" si="53"/>
        <v>Outlier</v>
      </c>
    </row>
    <row r="561" spans="1:23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  <c r="Q561" t="str">
        <f>IF(COUNTIF($A$2:A561,A561)&gt;1,"Duplicate","Unique")</f>
        <v>Unique</v>
      </c>
      <c r="R561" t="str">
        <f t="shared" si="48"/>
        <v>Valid</v>
      </c>
      <c r="S561" t="str">
        <f t="shared" si="49"/>
        <v>Valid</v>
      </c>
      <c r="T561" t="str">
        <f t="shared" si="50"/>
        <v>Valid</v>
      </c>
      <c r="U561" t="str">
        <f t="shared" si="51"/>
        <v>Valid</v>
      </c>
      <c r="V561" t="str">
        <f t="shared" si="52"/>
        <v>Valid</v>
      </c>
      <c r="W561" t="str">
        <f t="shared" si="53"/>
        <v>Outlier</v>
      </c>
    </row>
    <row r="562" spans="1:23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  <c r="Q562" t="str">
        <f>IF(COUNTIF($A$2:A562,A562)&gt;1,"Duplicate","Unique")</f>
        <v>Unique</v>
      </c>
      <c r="R562" t="str">
        <f t="shared" si="48"/>
        <v>Valid</v>
      </c>
      <c r="S562" t="str">
        <f t="shared" si="49"/>
        <v>Valid</v>
      </c>
      <c r="T562" t="str">
        <f t="shared" si="50"/>
        <v>Valid</v>
      </c>
      <c r="U562" t="str">
        <f t="shared" si="51"/>
        <v>Valid</v>
      </c>
      <c r="V562" t="str">
        <f t="shared" si="52"/>
        <v>Valid</v>
      </c>
      <c r="W562" t="str">
        <f t="shared" si="53"/>
        <v>Outlier</v>
      </c>
    </row>
    <row r="563" spans="1:23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  <c r="Q563" t="str">
        <f>IF(COUNTIF($A$2:A563,A563)&gt;1,"Duplicate","Unique")</f>
        <v>Unique</v>
      </c>
      <c r="R563" t="str">
        <f t="shared" si="48"/>
        <v>Valid</v>
      </c>
      <c r="S563" t="str">
        <f t="shared" si="49"/>
        <v>Valid</v>
      </c>
      <c r="T563" t="str">
        <f t="shared" si="50"/>
        <v>Valid</v>
      </c>
      <c r="U563" t="str">
        <f t="shared" si="51"/>
        <v>Valid</v>
      </c>
      <c r="V563" t="str">
        <f t="shared" si="52"/>
        <v>Valid</v>
      </c>
      <c r="W563" t="str">
        <f t="shared" si="53"/>
        <v>Outlier</v>
      </c>
    </row>
    <row r="564" spans="1:23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  <c r="Q564" t="str">
        <f>IF(COUNTIF($A$2:A564,A564)&gt;1,"Duplicate","Unique")</f>
        <v>Unique</v>
      </c>
      <c r="R564" t="str">
        <f t="shared" si="48"/>
        <v>Valid</v>
      </c>
      <c r="S564" t="str">
        <f t="shared" si="49"/>
        <v>Valid</v>
      </c>
      <c r="T564" t="str">
        <f t="shared" si="50"/>
        <v>Valid</v>
      </c>
      <c r="U564" t="str">
        <f t="shared" si="51"/>
        <v>Valid</v>
      </c>
      <c r="V564" t="str">
        <f t="shared" si="52"/>
        <v>Valid</v>
      </c>
      <c r="W564" t="str">
        <f t="shared" si="53"/>
        <v>Outlier</v>
      </c>
    </row>
    <row r="565" spans="1:23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  <c r="Q565" t="str">
        <f>IF(COUNTIF($A$2:A565,A565)&gt;1,"Duplicate","Unique")</f>
        <v>Unique</v>
      </c>
      <c r="R565" t="str">
        <f t="shared" si="48"/>
        <v>Valid</v>
      </c>
      <c r="S565" t="str">
        <f t="shared" si="49"/>
        <v>Valid</v>
      </c>
      <c r="T565" t="str">
        <f t="shared" si="50"/>
        <v>Valid</v>
      </c>
      <c r="U565" t="str">
        <f t="shared" si="51"/>
        <v>Valid</v>
      </c>
      <c r="V565" t="str">
        <f t="shared" si="52"/>
        <v>Valid</v>
      </c>
      <c r="W565" t="str">
        <f t="shared" si="53"/>
        <v>Outlier</v>
      </c>
    </row>
    <row r="566" spans="1:23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  <c r="Q566" t="str">
        <f>IF(COUNTIF($A$2:A566,A566)&gt;1,"Duplicate","Unique")</f>
        <v>Unique</v>
      </c>
      <c r="R566" t="str">
        <f t="shared" si="48"/>
        <v>Valid</v>
      </c>
      <c r="S566" t="str">
        <f t="shared" si="49"/>
        <v>Valid</v>
      </c>
      <c r="T566" t="str">
        <f t="shared" si="50"/>
        <v>Valid</v>
      </c>
      <c r="U566" t="str">
        <f t="shared" si="51"/>
        <v>Valid</v>
      </c>
      <c r="V566" t="str">
        <f t="shared" si="52"/>
        <v>Valid</v>
      </c>
      <c r="W566" t="str">
        <f t="shared" si="53"/>
        <v>Outlier</v>
      </c>
    </row>
    <row r="567" spans="1:23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  <c r="Q567" t="str">
        <f>IF(COUNTIF($A$2:A567,A567)&gt;1,"Duplicate","Unique")</f>
        <v>Unique</v>
      </c>
      <c r="R567" t="str">
        <f t="shared" si="48"/>
        <v>Valid</v>
      </c>
      <c r="S567" t="str">
        <f t="shared" si="49"/>
        <v>Valid</v>
      </c>
      <c r="T567" t="str">
        <f t="shared" si="50"/>
        <v>Valid</v>
      </c>
      <c r="U567" t="str">
        <f t="shared" si="51"/>
        <v>Valid</v>
      </c>
      <c r="V567" t="str">
        <f t="shared" si="52"/>
        <v>Valid</v>
      </c>
      <c r="W567" t="str">
        <f t="shared" si="53"/>
        <v>Outlier</v>
      </c>
    </row>
    <row r="568" spans="1:23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  <c r="Q568" t="str">
        <f>IF(COUNTIF($A$2:A568,A568)&gt;1,"Duplicate","Unique")</f>
        <v>Unique</v>
      </c>
      <c r="R568" t="str">
        <f t="shared" si="48"/>
        <v>Valid</v>
      </c>
      <c r="S568" t="str">
        <f t="shared" si="49"/>
        <v>Valid</v>
      </c>
      <c r="T568" t="str">
        <f t="shared" si="50"/>
        <v>Valid</v>
      </c>
      <c r="U568" t="str">
        <f t="shared" si="51"/>
        <v>Valid</v>
      </c>
      <c r="V568" t="str">
        <f t="shared" si="52"/>
        <v>Valid</v>
      </c>
      <c r="W568" t="str">
        <f t="shared" si="53"/>
        <v>Outlier</v>
      </c>
    </row>
    <row r="569" spans="1:23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  <c r="Q569" t="str">
        <f>IF(COUNTIF($A$2:A569,A569)&gt;1,"Duplicate","Unique")</f>
        <v>Unique</v>
      </c>
      <c r="R569" t="str">
        <f t="shared" si="48"/>
        <v>Valid</v>
      </c>
      <c r="S569" t="str">
        <f t="shared" si="49"/>
        <v>Valid</v>
      </c>
      <c r="T569" t="str">
        <f t="shared" si="50"/>
        <v>Valid</v>
      </c>
      <c r="U569" t="str">
        <f t="shared" si="51"/>
        <v>Valid</v>
      </c>
      <c r="V569" t="str">
        <f t="shared" si="52"/>
        <v>Valid</v>
      </c>
      <c r="W569" t="str">
        <f t="shared" si="53"/>
        <v>Outlier</v>
      </c>
    </row>
    <row r="570" spans="1:23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  <c r="Q570" t="str">
        <f>IF(COUNTIF($A$2:A570,A570)&gt;1,"Duplicate","Unique")</f>
        <v>Unique</v>
      </c>
      <c r="R570" t="str">
        <f t="shared" si="48"/>
        <v>Valid</v>
      </c>
      <c r="S570" t="str">
        <f t="shared" si="49"/>
        <v>Valid</v>
      </c>
      <c r="T570" t="str">
        <f t="shared" si="50"/>
        <v>Valid</v>
      </c>
      <c r="U570" t="str">
        <f t="shared" si="51"/>
        <v>Valid</v>
      </c>
      <c r="V570" t="str">
        <f t="shared" si="52"/>
        <v>Valid</v>
      </c>
      <c r="W570" t="str">
        <f t="shared" si="53"/>
        <v>Outlier</v>
      </c>
    </row>
    <row r="571" spans="1:23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  <c r="Q571" t="str">
        <f>IF(COUNTIF($A$2:A571,A571)&gt;1,"Duplicate","Unique")</f>
        <v>Unique</v>
      </c>
      <c r="R571" t="str">
        <f t="shared" si="48"/>
        <v>Valid</v>
      </c>
      <c r="S571" t="str">
        <f t="shared" si="49"/>
        <v>Valid</v>
      </c>
      <c r="T571" t="str">
        <f t="shared" si="50"/>
        <v>Valid</v>
      </c>
      <c r="U571" t="str">
        <f t="shared" si="51"/>
        <v>Valid</v>
      </c>
      <c r="V571" t="str">
        <f t="shared" si="52"/>
        <v>Valid</v>
      </c>
      <c r="W571" t="str">
        <f t="shared" si="53"/>
        <v>Outlier</v>
      </c>
    </row>
    <row r="572" spans="1:23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  <c r="Q572" t="str">
        <f>IF(COUNTIF($A$2:A572,A572)&gt;1,"Duplicate","Unique")</f>
        <v>Unique</v>
      </c>
      <c r="R572" t="str">
        <f t="shared" si="48"/>
        <v>Valid</v>
      </c>
      <c r="S572" t="str">
        <f t="shared" si="49"/>
        <v>Valid</v>
      </c>
      <c r="T572" t="str">
        <f t="shared" si="50"/>
        <v>Valid</v>
      </c>
      <c r="U572" t="str">
        <f t="shared" si="51"/>
        <v>Valid</v>
      </c>
      <c r="V572" t="str">
        <f t="shared" si="52"/>
        <v>Valid</v>
      </c>
      <c r="W572" t="str">
        <f t="shared" si="53"/>
        <v>Outlier</v>
      </c>
    </row>
    <row r="573" spans="1:23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  <c r="Q573" t="str">
        <f>IF(COUNTIF($A$2:A573,A573)&gt;1,"Duplicate","Unique")</f>
        <v>Unique</v>
      </c>
      <c r="R573" t="str">
        <f t="shared" si="48"/>
        <v>Valid</v>
      </c>
      <c r="S573" t="str">
        <f t="shared" si="49"/>
        <v>Valid</v>
      </c>
      <c r="T573" t="str">
        <f t="shared" si="50"/>
        <v>Valid</v>
      </c>
      <c r="U573" t="str">
        <f t="shared" si="51"/>
        <v>Valid</v>
      </c>
      <c r="V573" t="str">
        <f t="shared" si="52"/>
        <v>Valid</v>
      </c>
      <c r="W573" t="str">
        <f t="shared" si="53"/>
        <v>Outlier</v>
      </c>
    </row>
    <row r="574" spans="1:23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  <c r="Q574" t="str">
        <f>IF(COUNTIF($A$2:A574,A574)&gt;1,"Duplicate","Unique")</f>
        <v>Unique</v>
      </c>
      <c r="R574" t="str">
        <f t="shared" si="48"/>
        <v>Valid</v>
      </c>
      <c r="S574" t="str">
        <f t="shared" si="49"/>
        <v>Valid</v>
      </c>
      <c r="T574" t="str">
        <f t="shared" si="50"/>
        <v>Valid</v>
      </c>
      <c r="U574" t="str">
        <f t="shared" si="51"/>
        <v>Valid</v>
      </c>
      <c r="V574" t="str">
        <f t="shared" si="52"/>
        <v>Valid</v>
      </c>
      <c r="W574" t="str">
        <f t="shared" si="53"/>
        <v>Outlier</v>
      </c>
    </row>
    <row r="575" spans="1:23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  <c r="Q575" t="str">
        <f>IF(COUNTIF($A$2:A575,A575)&gt;1,"Duplicate","Unique")</f>
        <v>Unique</v>
      </c>
      <c r="R575" t="str">
        <f t="shared" si="48"/>
        <v>Valid</v>
      </c>
      <c r="S575" t="str">
        <f t="shared" si="49"/>
        <v>Valid</v>
      </c>
      <c r="T575" t="str">
        <f t="shared" si="50"/>
        <v>Valid</v>
      </c>
      <c r="U575" t="str">
        <f t="shared" si="51"/>
        <v>Valid</v>
      </c>
      <c r="V575" t="str">
        <f t="shared" si="52"/>
        <v>Valid</v>
      </c>
      <c r="W575" t="str">
        <f t="shared" si="53"/>
        <v>Outlier</v>
      </c>
    </row>
    <row r="576" spans="1:23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  <c r="Q576" t="str">
        <f>IF(COUNTIF($A$2:A576,A576)&gt;1,"Duplicate","Unique")</f>
        <v>Unique</v>
      </c>
      <c r="R576" t="str">
        <f t="shared" si="48"/>
        <v>Valid</v>
      </c>
      <c r="S576" t="str">
        <f t="shared" si="49"/>
        <v>Valid</v>
      </c>
      <c r="T576" t="str">
        <f t="shared" si="50"/>
        <v>Valid</v>
      </c>
      <c r="U576" t="str">
        <f t="shared" si="51"/>
        <v>Valid</v>
      </c>
      <c r="V576" t="str">
        <f t="shared" si="52"/>
        <v>Valid</v>
      </c>
      <c r="W576" t="str">
        <f t="shared" si="53"/>
        <v>Outlier</v>
      </c>
    </row>
    <row r="577" spans="1:23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  <c r="Q577" t="str">
        <f>IF(COUNTIF($A$2:A577,A577)&gt;1,"Duplicate","Unique")</f>
        <v>Unique</v>
      </c>
      <c r="R577" t="str">
        <f t="shared" si="48"/>
        <v>Valid</v>
      </c>
      <c r="S577" t="str">
        <f t="shared" si="49"/>
        <v>Valid</v>
      </c>
      <c r="T577" t="str">
        <f t="shared" si="50"/>
        <v>Valid</v>
      </c>
      <c r="U577" t="str">
        <f t="shared" si="51"/>
        <v>Valid</v>
      </c>
      <c r="V577" t="str">
        <f t="shared" si="52"/>
        <v>Valid</v>
      </c>
      <c r="W577" t="str">
        <f t="shared" si="53"/>
        <v>Outlier</v>
      </c>
    </row>
    <row r="578" spans="1:23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  <c r="Q578" t="str">
        <f>IF(COUNTIF($A$2:A578,A578)&gt;1,"Duplicate","Unique")</f>
        <v>Unique</v>
      </c>
      <c r="R578" t="str">
        <f t="shared" si="48"/>
        <v>Valid</v>
      </c>
      <c r="S578" t="str">
        <f t="shared" si="49"/>
        <v>Valid</v>
      </c>
      <c r="T578" t="str">
        <f t="shared" si="50"/>
        <v>Valid</v>
      </c>
      <c r="U578" t="str">
        <f t="shared" si="51"/>
        <v>Valid</v>
      </c>
      <c r="V578" t="str">
        <f t="shared" si="52"/>
        <v>Valid</v>
      </c>
      <c r="W578" t="str">
        <f t="shared" si="53"/>
        <v>Outlier</v>
      </c>
    </row>
    <row r="579" spans="1:23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  <c r="Q579" t="str">
        <f>IF(COUNTIF($A$2:A579,A579)&gt;1,"Duplicate","Unique")</f>
        <v>Unique</v>
      </c>
      <c r="R579" t="str">
        <f t="shared" ref="R579:R642" si="54">IF(OR(H579=0,H579=1),"Valid","Invalid")</f>
        <v>Valid</v>
      </c>
      <c r="S579" t="str">
        <f t="shared" ref="S579:S642" si="55">IF(OR(I579=0,I579=1),"Valid","Invalid")</f>
        <v>Valid</v>
      </c>
      <c r="T579" t="str">
        <f t="shared" ref="T579:T642" si="56">IF(OR(J579=0,J579=1),"Valid","Invalid")</f>
        <v>Valid</v>
      </c>
      <c r="U579" t="str">
        <f t="shared" ref="U579:U642" si="57">IF(OR(K579=0,K579=1),"Valid","Invalid")</f>
        <v>Valid</v>
      </c>
      <c r="V579" t="str">
        <f t="shared" ref="V579:V642" si="58">IF(OR(N579=0,N579=1),"Valid","Invalid")</f>
        <v>Valid</v>
      </c>
      <c r="W579" t="str">
        <f t="shared" ref="W579:W642" si="59">IF(OR(L579&lt;$B$23,L579&gt;$B$24),"Outlier","Normal")</f>
        <v>Outlier</v>
      </c>
    </row>
    <row r="580" spans="1:23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  <c r="Q580" t="str">
        <f>IF(COUNTIF($A$2:A580,A580)&gt;1,"Duplicate","Unique")</f>
        <v>Unique</v>
      </c>
      <c r="R580" t="str">
        <f t="shared" si="54"/>
        <v>Valid</v>
      </c>
      <c r="S580" t="str">
        <f t="shared" si="55"/>
        <v>Valid</v>
      </c>
      <c r="T580" t="str">
        <f t="shared" si="56"/>
        <v>Valid</v>
      </c>
      <c r="U580" t="str">
        <f t="shared" si="57"/>
        <v>Valid</v>
      </c>
      <c r="V580" t="str">
        <f t="shared" si="58"/>
        <v>Valid</v>
      </c>
      <c r="W580" t="str">
        <f t="shared" si="59"/>
        <v>Outlier</v>
      </c>
    </row>
    <row r="581" spans="1:23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  <c r="Q581" t="str">
        <f>IF(COUNTIF($A$2:A581,A581)&gt;1,"Duplicate","Unique")</f>
        <v>Unique</v>
      </c>
      <c r="R581" t="str">
        <f t="shared" si="54"/>
        <v>Valid</v>
      </c>
      <c r="S581" t="str">
        <f t="shared" si="55"/>
        <v>Valid</v>
      </c>
      <c r="T581" t="str">
        <f t="shared" si="56"/>
        <v>Valid</v>
      </c>
      <c r="U581" t="str">
        <f t="shared" si="57"/>
        <v>Valid</v>
      </c>
      <c r="V581" t="str">
        <f t="shared" si="58"/>
        <v>Valid</v>
      </c>
      <c r="W581" t="str">
        <f t="shared" si="59"/>
        <v>Outlier</v>
      </c>
    </row>
    <row r="582" spans="1:23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  <c r="Q582" t="str">
        <f>IF(COUNTIF($A$2:A582,A582)&gt;1,"Duplicate","Unique")</f>
        <v>Unique</v>
      </c>
      <c r="R582" t="str">
        <f t="shared" si="54"/>
        <v>Valid</v>
      </c>
      <c r="S582" t="str">
        <f t="shared" si="55"/>
        <v>Valid</v>
      </c>
      <c r="T582" t="str">
        <f t="shared" si="56"/>
        <v>Valid</v>
      </c>
      <c r="U582" t="str">
        <f t="shared" si="57"/>
        <v>Valid</v>
      </c>
      <c r="V582" t="str">
        <f t="shared" si="58"/>
        <v>Valid</v>
      </c>
      <c r="W582" t="str">
        <f t="shared" si="59"/>
        <v>Outlier</v>
      </c>
    </row>
    <row r="583" spans="1:23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  <c r="Q583" t="str">
        <f>IF(COUNTIF($A$2:A583,A583)&gt;1,"Duplicate","Unique")</f>
        <v>Unique</v>
      </c>
      <c r="R583" t="str">
        <f t="shared" si="54"/>
        <v>Valid</v>
      </c>
      <c r="S583" t="str">
        <f t="shared" si="55"/>
        <v>Valid</v>
      </c>
      <c r="T583" t="str">
        <f t="shared" si="56"/>
        <v>Valid</v>
      </c>
      <c r="U583" t="str">
        <f t="shared" si="57"/>
        <v>Valid</v>
      </c>
      <c r="V583" t="str">
        <f t="shared" si="58"/>
        <v>Valid</v>
      </c>
      <c r="W583" t="str">
        <f t="shared" si="59"/>
        <v>Outlier</v>
      </c>
    </row>
    <row r="584" spans="1:23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  <c r="Q584" t="str">
        <f>IF(COUNTIF($A$2:A584,A584)&gt;1,"Duplicate","Unique")</f>
        <v>Unique</v>
      </c>
      <c r="R584" t="str">
        <f t="shared" si="54"/>
        <v>Valid</v>
      </c>
      <c r="S584" t="str">
        <f t="shared" si="55"/>
        <v>Valid</v>
      </c>
      <c r="T584" t="str">
        <f t="shared" si="56"/>
        <v>Valid</v>
      </c>
      <c r="U584" t="str">
        <f t="shared" si="57"/>
        <v>Valid</v>
      </c>
      <c r="V584" t="str">
        <f t="shared" si="58"/>
        <v>Valid</v>
      </c>
      <c r="W584" t="str">
        <f t="shared" si="59"/>
        <v>Outlier</v>
      </c>
    </row>
    <row r="585" spans="1:23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  <c r="Q585" t="str">
        <f>IF(COUNTIF($A$2:A585,A585)&gt;1,"Duplicate","Unique")</f>
        <v>Unique</v>
      </c>
      <c r="R585" t="str">
        <f t="shared" si="54"/>
        <v>Valid</v>
      </c>
      <c r="S585" t="str">
        <f t="shared" si="55"/>
        <v>Valid</v>
      </c>
      <c r="T585" t="str">
        <f t="shared" si="56"/>
        <v>Valid</v>
      </c>
      <c r="U585" t="str">
        <f t="shared" si="57"/>
        <v>Valid</v>
      </c>
      <c r="V585" t="str">
        <f t="shared" si="58"/>
        <v>Valid</v>
      </c>
      <c r="W585" t="str">
        <f t="shared" si="59"/>
        <v>Outlier</v>
      </c>
    </row>
    <row r="586" spans="1:23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  <c r="Q586" t="str">
        <f>IF(COUNTIF($A$2:A586,A586)&gt;1,"Duplicate","Unique")</f>
        <v>Unique</v>
      </c>
      <c r="R586" t="str">
        <f t="shared" si="54"/>
        <v>Valid</v>
      </c>
      <c r="S586" t="str">
        <f t="shared" si="55"/>
        <v>Valid</v>
      </c>
      <c r="T586" t="str">
        <f t="shared" si="56"/>
        <v>Valid</v>
      </c>
      <c r="U586" t="str">
        <f t="shared" si="57"/>
        <v>Valid</v>
      </c>
      <c r="V586" t="str">
        <f t="shared" si="58"/>
        <v>Valid</v>
      </c>
      <c r="W586" t="str">
        <f t="shared" si="59"/>
        <v>Outlier</v>
      </c>
    </row>
    <row r="587" spans="1:23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  <c r="Q587" t="str">
        <f>IF(COUNTIF($A$2:A587,A587)&gt;1,"Duplicate","Unique")</f>
        <v>Unique</v>
      </c>
      <c r="R587" t="str">
        <f t="shared" si="54"/>
        <v>Valid</v>
      </c>
      <c r="S587" t="str">
        <f t="shared" si="55"/>
        <v>Valid</v>
      </c>
      <c r="T587" t="str">
        <f t="shared" si="56"/>
        <v>Valid</v>
      </c>
      <c r="U587" t="str">
        <f t="shared" si="57"/>
        <v>Valid</v>
      </c>
      <c r="V587" t="str">
        <f t="shared" si="58"/>
        <v>Valid</v>
      </c>
      <c r="W587" t="str">
        <f t="shared" si="59"/>
        <v>Outlier</v>
      </c>
    </row>
    <row r="588" spans="1:23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  <c r="Q588" t="str">
        <f>IF(COUNTIF($A$2:A588,A588)&gt;1,"Duplicate","Unique")</f>
        <v>Unique</v>
      </c>
      <c r="R588" t="str">
        <f t="shared" si="54"/>
        <v>Valid</v>
      </c>
      <c r="S588" t="str">
        <f t="shared" si="55"/>
        <v>Valid</v>
      </c>
      <c r="T588" t="str">
        <f t="shared" si="56"/>
        <v>Valid</v>
      </c>
      <c r="U588" t="str">
        <f t="shared" si="57"/>
        <v>Valid</v>
      </c>
      <c r="V588" t="str">
        <f t="shared" si="58"/>
        <v>Valid</v>
      </c>
      <c r="W588" t="str">
        <f t="shared" si="59"/>
        <v>Outlier</v>
      </c>
    </row>
    <row r="589" spans="1:23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  <c r="Q589" t="str">
        <f>IF(COUNTIF($A$2:A589,A589)&gt;1,"Duplicate","Unique")</f>
        <v>Unique</v>
      </c>
      <c r="R589" t="str">
        <f t="shared" si="54"/>
        <v>Valid</v>
      </c>
      <c r="S589" t="str">
        <f t="shared" si="55"/>
        <v>Valid</v>
      </c>
      <c r="T589" t="str">
        <f t="shared" si="56"/>
        <v>Valid</v>
      </c>
      <c r="U589" t="str">
        <f t="shared" si="57"/>
        <v>Valid</v>
      </c>
      <c r="V589" t="str">
        <f t="shared" si="58"/>
        <v>Valid</v>
      </c>
      <c r="W589" t="str">
        <f t="shared" si="59"/>
        <v>Outlier</v>
      </c>
    </row>
    <row r="590" spans="1:23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  <c r="Q590" t="str">
        <f>IF(COUNTIF($A$2:A590,A590)&gt;1,"Duplicate","Unique")</f>
        <v>Unique</v>
      </c>
      <c r="R590" t="str">
        <f t="shared" si="54"/>
        <v>Valid</v>
      </c>
      <c r="S590" t="str">
        <f t="shared" si="55"/>
        <v>Valid</v>
      </c>
      <c r="T590" t="str">
        <f t="shared" si="56"/>
        <v>Valid</v>
      </c>
      <c r="U590" t="str">
        <f t="shared" si="57"/>
        <v>Valid</v>
      </c>
      <c r="V590" t="str">
        <f t="shared" si="58"/>
        <v>Valid</v>
      </c>
      <c r="W590" t="str">
        <f t="shared" si="59"/>
        <v>Outlier</v>
      </c>
    </row>
    <row r="591" spans="1:23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  <c r="Q591" t="str">
        <f>IF(COUNTIF($A$2:A591,A591)&gt;1,"Duplicate","Unique")</f>
        <v>Unique</v>
      </c>
      <c r="R591" t="str">
        <f t="shared" si="54"/>
        <v>Valid</v>
      </c>
      <c r="S591" t="str">
        <f t="shared" si="55"/>
        <v>Valid</v>
      </c>
      <c r="T591" t="str">
        <f t="shared" si="56"/>
        <v>Valid</v>
      </c>
      <c r="U591" t="str">
        <f t="shared" si="57"/>
        <v>Valid</v>
      </c>
      <c r="V591" t="str">
        <f t="shared" si="58"/>
        <v>Valid</v>
      </c>
      <c r="W591" t="str">
        <f t="shared" si="59"/>
        <v>Outlier</v>
      </c>
    </row>
    <row r="592" spans="1:23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  <c r="Q592" t="str">
        <f>IF(COUNTIF($A$2:A592,A592)&gt;1,"Duplicate","Unique")</f>
        <v>Unique</v>
      </c>
      <c r="R592" t="str">
        <f t="shared" si="54"/>
        <v>Valid</v>
      </c>
      <c r="S592" t="str">
        <f t="shared" si="55"/>
        <v>Valid</v>
      </c>
      <c r="T592" t="str">
        <f t="shared" si="56"/>
        <v>Valid</v>
      </c>
      <c r="U592" t="str">
        <f t="shared" si="57"/>
        <v>Valid</v>
      </c>
      <c r="V592" t="str">
        <f t="shared" si="58"/>
        <v>Valid</v>
      </c>
      <c r="W592" t="str">
        <f t="shared" si="59"/>
        <v>Outlier</v>
      </c>
    </row>
    <row r="593" spans="1:23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  <c r="Q593" t="str">
        <f>IF(COUNTIF($A$2:A593,A593)&gt;1,"Duplicate","Unique")</f>
        <v>Unique</v>
      </c>
      <c r="R593" t="str">
        <f t="shared" si="54"/>
        <v>Valid</v>
      </c>
      <c r="S593" t="str">
        <f t="shared" si="55"/>
        <v>Valid</v>
      </c>
      <c r="T593" t="str">
        <f t="shared" si="56"/>
        <v>Valid</v>
      </c>
      <c r="U593" t="str">
        <f t="shared" si="57"/>
        <v>Valid</v>
      </c>
      <c r="V593" t="str">
        <f t="shared" si="58"/>
        <v>Valid</v>
      </c>
      <c r="W593" t="str">
        <f t="shared" si="59"/>
        <v>Outlier</v>
      </c>
    </row>
    <row r="594" spans="1:23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  <c r="Q594" t="str">
        <f>IF(COUNTIF($A$2:A594,A594)&gt;1,"Duplicate","Unique")</f>
        <v>Unique</v>
      </c>
      <c r="R594" t="str">
        <f t="shared" si="54"/>
        <v>Valid</v>
      </c>
      <c r="S594" t="str">
        <f t="shared" si="55"/>
        <v>Valid</v>
      </c>
      <c r="T594" t="str">
        <f t="shared" si="56"/>
        <v>Valid</v>
      </c>
      <c r="U594" t="str">
        <f t="shared" si="57"/>
        <v>Valid</v>
      </c>
      <c r="V594" t="str">
        <f t="shared" si="58"/>
        <v>Valid</v>
      </c>
      <c r="W594" t="str">
        <f t="shared" si="59"/>
        <v>Outlier</v>
      </c>
    </row>
    <row r="595" spans="1:23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  <c r="Q595" t="str">
        <f>IF(COUNTIF($A$2:A595,A595)&gt;1,"Duplicate","Unique")</f>
        <v>Unique</v>
      </c>
      <c r="R595" t="str">
        <f t="shared" si="54"/>
        <v>Valid</v>
      </c>
      <c r="S595" t="str">
        <f t="shared" si="55"/>
        <v>Valid</v>
      </c>
      <c r="T595" t="str">
        <f t="shared" si="56"/>
        <v>Valid</v>
      </c>
      <c r="U595" t="str">
        <f t="shared" si="57"/>
        <v>Valid</v>
      </c>
      <c r="V595" t="str">
        <f t="shared" si="58"/>
        <v>Valid</v>
      </c>
      <c r="W595" t="str">
        <f t="shared" si="59"/>
        <v>Outlier</v>
      </c>
    </row>
    <row r="596" spans="1:23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  <c r="Q596" t="str">
        <f>IF(COUNTIF($A$2:A596,A596)&gt;1,"Duplicate","Unique")</f>
        <v>Unique</v>
      </c>
      <c r="R596" t="str">
        <f t="shared" si="54"/>
        <v>Valid</v>
      </c>
      <c r="S596" t="str">
        <f t="shared" si="55"/>
        <v>Valid</v>
      </c>
      <c r="T596" t="str">
        <f t="shared" si="56"/>
        <v>Valid</v>
      </c>
      <c r="U596" t="str">
        <f t="shared" si="57"/>
        <v>Valid</v>
      </c>
      <c r="V596" t="str">
        <f t="shared" si="58"/>
        <v>Valid</v>
      </c>
      <c r="W596" t="str">
        <f t="shared" si="59"/>
        <v>Outlier</v>
      </c>
    </row>
    <row r="597" spans="1:23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  <c r="Q597" t="str">
        <f>IF(COUNTIF($A$2:A597,A597)&gt;1,"Duplicate","Unique")</f>
        <v>Unique</v>
      </c>
      <c r="R597" t="str">
        <f t="shared" si="54"/>
        <v>Valid</v>
      </c>
      <c r="S597" t="str">
        <f t="shared" si="55"/>
        <v>Valid</v>
      </c>
      <c r="T597" t="str">
        <f t="shared" si="56"/>
        <v>Valid</v>
      </c>
      <c r="U597" t="str">
        <f t="shared" si="57"/>
        <v>Valid</v>
      </c>
      <c r="V597" t="str">
        <f t="shared" si="58"/>
        <v>Valid</v>
      </c>
      <c r="W597" t="str">
        <f t="shared" si="59"/>
        <v>Outlier</v>
      </c>
    </row>
    <row r="598" spans="1:23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  <c r="Q598" t="str">
        <f>IF(COUNTIF($A$2:A598,A598)&gt;1,"Duplicate","Unique")</f>
        <v>Unique</v>
      </c>
      <c r="R598" t="str">
        <f t="shared" si="54"/>
        <v>Valid</v>
      </c>
      <c r="S598" t="str">
        <f t="shared" si="55"/>
        <v>Valid</v>
      </c>
      <c r="T598" t="str">
        <f t="shared" si="56"/>
        <v>Valid</v>
      </c>
      <c r="U598" t="str">
        <f t="shared" si="57"/>
        <v>Valid</v>
      </c>
      <c r="V598" t="str">
        <f t="shared" si="58"/>
        <v>Valid</v>
      </c>
      <c r="W598" t="str">
        <f t="shared" si="59"/>
        <v>Outlier</v>
      </c>
    </row>
    <row r="599" spans="1:23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  <c r="Q599" t="str">
        <f>IF(COUNTIF($A$2:A599,A599)&gt;1,"Duplicate","Unique")</f>
        <v>Unique</v>
      </c>
      <c r="R599" t="str">
        <f t="shared" si="54"/>
        <v>Valid</v>
      </c>
      <c r="S599" t="str">
        <f t="shared" si="55"/>
        <v>Valid</v>
      </c>
      <c r="T599" t="str">
        <f t="shared" si="56"/>
        <v>Valid</v>
      </c>
      <c r="U599" t="str">
        <f t="shared" si="57"/>
        <v>Valid</v>
      </c>
      <c r="V599" t="str">
        <f t="shared" si="58"/>
        <v>Valid</v>
      </c>
      <c r="W599" t="str">
        <f t="shared" si="59"/>
        <v>Outlier</v>
      </c>
    </row>
    <row r="600" spans="1:23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  <c r="Q600" t="str">
        <f>IF(COUNTIF($A$2:A600,A600)&gt;1,"Duplicate","Unique")</f>
        <v>Unique</v>
      </c>
      <c r="R600" t="str">
        <f t="shared" si="54"/>
        <v>Valid</v>
      </c>
      <c r="S600" t="str">
        <f t="shared" si="55"/>
        <v>Valid</v>
      </c>
      <c r="T600" t="str">
        <f t="shared" si="56"/>
        <v>Valid</v>
      </c>
      <c r="U600" t="str">
        <f t="shared" si="57"/>
        <v>Valid</v>
      </c>
      <c r="V600" t="str">
        <f t="shared" si="58"/>
        <v>Valid</v>
      </c>
      <c r="W600" t="str">
        <f t="shared" si="59"/>
        <v>Outlier</v>
      </c>
    </row>
    <row r="601" spans="1:23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  <c r="Q601" t="str">
        <f>IF(COUNTIF($A$2:A601,A601)&gt;1,"Duplicate","Unique")</f>
        <v>Unique</v>
      </c>
      <c r="R601" t="str">
        <f t="shared" si="54"/>
        <v>Valid</v>
      </c>
      <c r="S601" t="str">
        <f t="shared" si="55"/>
        <v>Valid</v>
      </c>
      <c r="T601" t="str">
        <f t="shared" si="56"/>
        <v>Valid</v>
      </c>
      <c r="U601" t="str">
        <f t="shared" si="57"/>
        <v>Valid</v>
      </c>
      <c r="V601" t="str">
        <f t="shared" si="58"/>
        <v>Valid</v>
      </c>
      <c r="W601" t="str">
        <f t="shared" si="59"/>
        <v>Outlier</v>
      </c>
    </row>
    <row r="602" spans="1:23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  <c r="Q602" t="str">
        <f>IF(COUNTIF($A$2:A602,A602)&gt;1,"Duplicate","Unique")</f>
        <v>Unique</v>
      </c>
      <c r="R602" t="str">
        <f t="shared" si="54"/>
        <v>Valid</v>
      </c>
      <c r="S602" t="str">
        <f t="shared" si="55"/>
        <v>Valid</v>
      </c>
      <c r="T602" t="str">
        <f t="shared" si="56"/>
        <v>Valid</v>
      </c>
      <c r="U602" t="str">
        <f t="shared" si="57"/>
        <v>Valid</v>
      </c>
      <c r="V602" t="str">
        <f t="shared" si="58"/>
        <v>Valid</v>
      </c>
      <c r="W602" t="str">
        <f t="shared" si="59"/>
        <v>Outlier</v>
      </c>
    </row>
    <row r="603" spans="1:23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  <c r="Q603" t="str">
        <f>IF(COUNTIF($A$2:A603,A603)&gt;1,"Duplicate","Unique")</f>
        <v>Unique</v>
      </c>
      <c r="R603" t="str">
        <f t="shared" si="54"/>
        <v>Valid</v>
      </c>
      <c r="S603" t="str">
        <f t="shared" si="55"/>
        <v>Valid</v>
      </c>
      <c r="T603" t="str">
        <f t="shared" si="56"/>
        <v>Valid</v>
      </c>
      <c r="U603" t="str">
        <f t="shared" si="57"/>
        <v>Valid</v>
      </c>
      <c r="V603" t="str">
        <f t="shared" si="58"/>
        <v>Valid</v>
      </c>
      <c r="W603" t="str">
        <f t="shared" si="59"/>
        <v>Outlier</v>
      </c>
    </row>
    <row r="604" spans="1:23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  <c r="Q604" t="str">
        <f>IF(COUNTIF($A$2:A604,A604)&gt;1,"Duplicate","Unique")</f>
        <v>Unique</v>
      </c>
      <c r="R604" t="str">
        <f t="shared" si="54"/>
        <v>Valid</v>
      </c>
      <c r="S604" t="str">
        <f t="shared" si="55"/>
        <v>Valid</v>
      </c>
      <c r="T604" t="str">
        <f t="shared" si="56"/>
        <v>Valid</v>
      </c>
      <c r="U604" t="str">
        <f t="shared" si="57"/>
        <v>Valid</v>
      </c>
      <c r="V604" t="str">
        <f t="shared" si="58"/>
        <v>Valid</v>
      </c>
      <c r="W604" t="str">
        <f t="shared" si="59"/>
        <v>Outlier</v>
      </c>
    </row>
    <row r="605" spans="1:23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  <c r="Q605" t="str">
        <f>IF(COUNTIF($A$2:A605,A605)&gt;1,"Duplicate","Unique")</f>
        <v>Unique</v>
      </c>
      <c r="R605" t="str">
        <f t="shared" si="54"/>
        <v>Valid</v>
      </c>
      <c r="S605" t="str">
        <f t="shared" si="55"/>
        <v>Valid</v>
      </c>
      <c r="T605" t="str">
        <f t="shared" si="56"/>
        <v>Valid</v>
      </c>
      <c r="U605" t="str">
        <f t="shared" si="57"/>
        <v>Valid</v>
      </c>
      <c r="V605" t="str">
        <f t="shared" si="58"/>
        <v>Valid</v>
      </c>
      <c r="W605" t="str">
        <f t="shared" si="59"/>
        <v>Outlier</v>
      </c>
    </row>
    <row r="606" spans="1:23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  <c r="Q606" t="str">
        <f>IF(COUNTIF($A$2:A606,A606)&gt;1,"Duplicate","Unique")</f>
        <v>Unique</v>
      </c>
      <c r="R606" t="str">
        <f t="shared" si="54"/>
        <v>Valid</v>
      </c>
      <c r="S606" t="str">
        <f t="shared" si="55"/>
        <v>Valid</v>
      </c>
      <c r="T606" t="str">
        <f t="shared" si="56"/>
        <v>Valid</v>
      </c>
      <c r="U606" t="str">
        <f t="shared" si="57"/>
        <v>Valid</v>
      </c>
      <c r="V606" t="str">
        <f t="shared" si="58"/>
        <v>Valid</v>
      </c>
      <c r="W606" t="str">
        <f t="shared" si="59"/>
        <v>Outlier</v>
      </c>
    </row>
    <row r="607" spans="1:23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  <c r="Q607" t="str">
        <f>IF(COUNTIF($A$2:A607,A607)&gt;1,"Duplicate","Unique")</f>
        <v>Unique</v>
      </c>
      <c r="R607" t="str">
        <f t="shared" si="54"/>
        <v>Valid</v>
      </c>
      <c r="S607" t="str">
        <f t="shared" si="55"/>
        <v>Valid</v>
      </c>
      <c r="T607" t="str">
        <f t="shared" si="56"/>
        <v>Valid</v>
      </c>
      <c r="U607" t="str">
        <f t="shared" si="57"/>
        <v>Valid</v>
      </c>
      <c r="V607" t="str">
        <f t="shared" si="58"/>
        <v>Valid</v>
      </c>
      <c r="W607" t="str">
        <f t="shared" si="59"/>
        <v>Outlier</v>
      </c>
    </row>
    <row r="608" spans="1:23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  <c r="Q608" t="str">
        <f>IF(COUNTIF($A$2:A608,A608)&gt;1,"Duplicate","Unique")</f>
        <v>Unique</v>
      </c>
      <c r="R608" t="str">
        <f t="shared" si="54"/>
        <v>Valid</v>
      </c>
      <c r="S608" t="str">
        <f t="shared" si="55"/>
        <v>Valid</v>
      </c>
      <c r="T608" t="str">
        <f t="shared" si="56"/>
        <v>Valid</v>
      </c>
      <c r="U608" t="str">
        <f t="shared" si="57"/>
        <v>Valid</v>
      </c>
      <c r="V608" t="str">
        <f t="shared" si="58"/>
        <v>Valid</v>
      </c>
      <c r="W608" t="str">
        <f t="shared" si="59"/>
        <v>Outlier</v>
      </c>
    </row>
    <row r="609" spans="1:23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  <c r="Q609" t="str">
        <f>IF(COUNTIF($A$2:A609,A609)&gt;1,"Duplicate","Unique")</f>
        <v>Unique</v>
      </c>
      <c r="R609" t="str">
        <f t="shared" si="54"/>
        <v>Valid</v>
      </c>
      <c r="S609" t="str">
        <f t="shared" si="55"/>
        <v>Valid</v>
      </c>
      <c r="T609" t="str">
        <f t="shared" si="56"/>
        <v>Valid</v>
      </c>
      <c r="U609" t="str">
        <f t="shared" si="57"/>
        <v>Valid</v>
      </c>
      <c r="V609" t="str">
        <f t="shared" si="58"/>
        <v>Valid</v>
      </c>
      <c r="W609" t="str">
        <f t="shared" si="59"/>
        <v>Outlier</v>
      </c>
    </row>
    <row r="610" spans="1:23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  <c r="Q610" t="str">
        <f>IF(COUNTIF($A$2:A610,A610)&gt;1,"Duplicate","Unique")</f>
        <v>Unique</v>
      </c>
      <c r="R610" t="str">
        <f t="shared" si="54"/>
        <v>Valid</v>
      </c>
      <c r="S610" t="str">
        <f t="shared" si="55"/>
        <v>Valid</v>
      </c>
      <c r="T610" t="str">
        <f t="shared" si="56"/>
        <v>Valid</v>
      </c>
      <c r="U610" t="str">
        <f t="shared" si="57"/>
        <v>Valid</v>
      </c>
      <c r="V610" t="str">
        <f t="shared" si="58"/>
        <v>Valid</v>
      </c>
      <c r="W610" t="str">
        <f t="shared" si="59"/>
        <v>Outlier</v>
      </c>
    </row>
    <row r="611" spans="1:23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  <c r="Q611" t="str">
        <f>IF(COUNTIF($A$2:A611,A611)&gt;1,"Duplicate","Unique")</f>
        <v>Unique</v>
      </c>
      <c r="R611" t="str">
        <f t="shared" si="54"/>
        <v>Valid</v>
      </c>
      <c r="S611" t="str">
        <f t="shared" si="55"/>
        <v>Valid</v>
      </c>
      <c r="T611" t="str">
        <f t="shared" si="56"/>
        <v>Valid</v>
      </c>
      <c r="U611" t="str">
        <f t="shared" si="57"/>
        <v>Valid</v>
      </c>
      <c r="V611" t="str">
        <f t="shared" si="58"/>
        <v>Valid</v>
      </c>
      <c r="W611" t="str">
        <f t="shared" si="59"/>
        <v>Outlier</v>
      </c>
    </row>
    <row r="612" spans="1:23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  <c r="Q612" t="str">
        <f>IF(COUNTIF($A$2:A612,A612)&gt;1,"Duplicate","Unique")</f>
        <v>Unique</v>
      </c>
      <c r="R612" t="str">
        <f t="shared" si="54"/>
        <v>Valid</v>
      </c>
      <c r="S612" t="str">
        <f t="shared" si="55"/>
        <v>Valid</v>
      </c>
      <c r="T612" t="str">
        <f t="shared" si="56"/>
        <v>Valid</v>
      </c>
      <c r="U612" t="str">
        <f t="shared" si="57"/>
        <v>Valid</v>
      </c>
      <c r="V612" t="str">
        <f t="shared" si="58"/>
        <v>Valid</v>
      </c>
      <c r="W612" t="str">
        <f t="shared" si="59"/>
        <v>Outlier</v>
      </c>
    </row>
    <row r="613" spans="1:23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  <c r="Q613" t="str">
        <f>IF(COUNTIF($A$2:A613,A613)&gt;1,"Duplicate","Unique")</f>
        <v>Unique</v>
      </c>
      <c r="R613" t="str">
        <f t="shared" si="54"/>
        <v>Valid</v>
      </c>
      <c r="S613" t="str">
        <f t="shared" si="55"/>
        <v>Valid</v>
      </c>
      <c r="T613" t="str">
        <f t="shared" si="56"/>
        <v>Valid</v>
      </c>
      <c r="U613" t="str">
        <f t="shared" si="57"/>
        <v>Valid</v>
      </c>
      <c r="V613" t="str">
        <f t="shared" si="58"/>
        <v>Valid</v>
      </c>
      <c r="W613" t="str">
        <f t="shared" si="59"/>
        <v>Outlier</v>
      </c>
    </row>
    <row r="614" spans="1:23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  <c r="Q614" t="str">
        <f>IF(COUNTIF($A$2:A614,A614)&gt;1,"Duplicate","Unique")</f>
        <v>Unique</v>
      </c>
      <c r="R614" t="str">
        <f t="shared" si="54"/>
        <v>Valid</v>
      </c>
      <c r="S614" t="str">
        <f t="shared" si="55"/>
        <v>Valid</v>
      </c>
      <c r="T614" t="str">
        <f t="shared" si="56"/>
        <v>Valid</v>
      </c>
      <c r="U614" t="str">
        <f t="shared" si="57"/>
        <v>Valid</v>
      </c>
      <c r="V614" t="str">
        <f t="shared" si="58"/>
        <v>Valid</v>
      </c>
      <c r="W614" t="str">
        <f t="shared" si="59"/>
        <v>Outlier</v>
      </c>
    </row>
    <row r="615" spans="1:23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  <c r="Q615" t="str">
        <f>IF(COUNTIF($A$2:A615,A615)&gt;1,"Duplicate","Unique")</f>
        <v>Unique</v>
      </c>
      <c r="R615" t="str">
        <f t="shared" si="54"/>
        <v>Valid</v>
      </c>
      <c r="S615" t="str">
        <f t="shared" si="55"/>
        <v>Valid</v>
      </c>
      <c r="T615" t="str">
        <f t="shared" si="56"/>
        <v>Valid</v>
      </c>
      <c r="U615" t="str">
        <f t="shared" si="57"/>
        <v>Valid</v>
      </c>
      <c r="V615" t="str">
        <f t="shared" si="58"/>
        <v>Valid</v>
      </c>
      <c r="W615" t="str">
        <f t="shared" si="59"/>
        <v>Outlier</v>
      </c>
    </row>
    <row r="616" spans="1:23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  <c r="Q616" t="str">
        <f>IF(COUNTIF($A$2:A616,A616)&gt;1,"Duplicate","Unique")</f>
        <v>Unique</v>
      </c>
      <c r="R616" t="str">
        <f t="shared" si="54"/>
        <v>Valid</v>
      </c>
      <c r="S616" t="str">
        <f t="shared" si="55"/>
        <v>Valid</v>
      </c>
      <c r="T616" t="str">
        <f t="shared" si="56"/>
        <v>Valid</v>
      </c>
      <c r="U616" t="str">
        <f t="shared" si="57"/>
        <v>Valid</v>
      </c>
      <c r="V616" t="str">
        <f t="shared" si="58"/>
        <v>Valid</v>
      </c>
      <c r="W616" t="str">
        <f t="shared" si="59"/>
        <v>Outlier</v>
      </c>
    </row>
    <row r="617" spans="1:23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  <c r="Q617" t="str">
        <f>IF(COUNTIF($A$2:A617,A617)&gt;1,"Duplicate","Unique")</f>
        <v>Unique</v>
      </c>
      <c r="R617" t="str">
        <f t="shared" si="54"/>
        <v>Valid</v>
      </c>
      <c r="S617" t="str">
        <f t="shared" si="55"/>
        <v>Valid</v>
      </c>
      <c r="T617" t="str">
        <f t="shared" si="56"/>
        <v>Valid</v>
      </c>
      <c r="U617" t="str">
        <f t="shared" si="57"/>
        <v>Valid</v>
      </c>
      <c r="V617" t="str">
        <f t="shared" si="58"/>
        <v>Valid</v>
      </c>
      <c r="W617" t="str">
        <f t="shared" si="59"/>
        <v>Outlier</v>
      </c>
    </row>
    <row r="618" spans="1:23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  <c r="Q618" t="str">
        <f>IF(COUNTIF($A$2:A618,A618)&gt;1,"Duplicate","Unique")</f>
        <v>Unique</v>
      </c>
      <c r="R618" t="str">
        <f t="shared" si="54"/>
        <v>Valid</v>
      </c>
      <c r="S618" t="str">
        <f t="shared" si="55"/>
        <v>Valid</v>
      </c>
      <c r="T618" t="str">
        <f t="shared" si="56"/>
        <v>Valid</v>
      </c>
      <c r="U618" t="str">
        <f t="shared" si="57"/>
        <v>Valid</v>
      </c>
      <c r="V618" t="str">
        <f t="shared" si="58"/>
        <v>Valid</v>
      </c>
      <c r="W618" t="str">
        <f t="shared" si="59"/>
        <v>Outlier</v>
      </c>
    </row>
    <row r="619" spans="1:23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  <c r="Q619" t="str">
        <f>IF(COUNTIF($A$2:A619,A619)&gt;1,"Duplicate","Unique")</f>
        <v>Unique</v>
      </c>
      <c r="R619" t="str">
        <f t="shared" si="54"/>
        <v>Valid</v>
      </c>
      <c r="S619" t="str">
        <f t="shared" si="55"/>
        <v>Valid</v>
      </c>
      <c r="T619" t="str">
        <f t="shared" si="56"/>
        <v>Valid</v>
      </c>
      <c r="U619" t="str">
        <f t="shared" si="57"/>
        <v>Valid</v>
      </c>
      <c r="V619" t="str">
        <f t="shared" si="58"/>
        <v>Valid</v>
      </c>
      <c r="W619" t="str">
        <f t="shared" si="59"/>
        <v>Outlier</v>
      </c>
    </row>
    <row r="620" spans="1:23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  <c r="Q620" t="str">
        <f>IF(COUNTIF($A$2:A620,A620)&gt;1,"Duplicate","Unique")</f>
        <v>Unique</v>
      </c>
      <c r="R620" t="str">
        <f t="shared" si="54"/>
        <v>Valid</v>
      </c>
      <c r="S620" t="str">
        <f t="shared" si="55"/>
        <v>Valid</v>
      </c>
      <c r="T620" t="str">
        <f t="shared" si="56"/>
        <v>Valid</v>
      </c>
      <c r="U620" t="str">
        <f t="shared" si="57"/>
        <v>Valid</v>
      </c>
      <c r="V620" t="str">
        <f t="shared" si="58"/>
        <v>Valid</v>
      </c>
      <c r="W620" t="str">
        <f t="shared" si="59"/>
        <v>Outlier</v>
      </c>
    </row>
    <row r="621" spans="1:23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  <c r="Q621" t="str">
        <f>IF(COUNTIF($A$2:A621,A621)&gt;1,"Duplicate","Unique")</f>
        <v>Unique</v>
      </c>
      <c r="R621" t="str">
        <f t="shared" si="54"/>
        <v>Valid</v>
      </c>
      <c r="S621" t="str">
        <f t="shared" si="55"/>
        <v>Valid</v>
      </c>
      <c r="T621" t="str">
        <f t="shared" si="56"/>
        <v>Valid</v>
      </c>
      <c r="U621" t="str">
        <f t="shared" si="57"/>
        <v>Valid</v>
      </c>
      <c r="V621" t="str">
        <f t="shared" si="58"/>
        <v>Valid</v>
      </c>
      <c r="W621" t="str">
        <f t="shared" si="59"/>
        <v>Outlier</v>
      </c>
    </row>
    <row r="622" spans="1:23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  <c r="Q622" t="str">
        <f>IF(COUNTIF($A$2:A622,A622)&gt;1,"Duplicate","Unique")</f>
        <v>Unique</v>
      </c>
      <c r="R622" t="str">
        <f t="shared" si="54"/>
        <v>Valid</v>
      </c>
      <c r="S622" t="str">
        <f t="shared" si="55"/>
        <v>Valid</v>
      </c>
      <c r="T622" t="str">
        <f t="shared" si="56"/>
        <v>Valid</v>
      </c>
      <c r="U622" t="str">
        <f t="shared" si="57"/>
        <v>Valid</v>
      </c>
      <c r="V622" t="str">
        <f t="shared" si="58"/>
        <v>Valid</v>
      </c>
      <c r="W622" t="str">
        <f t="shared" si="59"/>
        <v>Outlier</v>
      </c>
    </row>
    <row r="623" spans="1:23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  <c r="Q623" t="str">
        <f>IF(COUNTIF($A$2:A623,A623)&gt;1,"Duplicate","Unique")</f>
        <v>Unique</v>
      </c>
      <c r="R623" t="str">
        <f t="shared" si="54"/>
        <v>Valid</v>
      </c>
      <c r="S623" t="str">
        <f t="shared" si="55"/>
        <v>Valid</v>
      </c>
      <c r="T623" t="str">
        <f t="shared" si="56"/>
        <v>Valid</v>
      </c>
      <c r="U623" t="str">
        <f t="shared" si="57"/>
        <v>Valid</v>
      </c>
      <c r="V623" t="str">
        <f t="shared" si="58"/>
        <v>Valid</v>
      </c>
      <c r="W623" t="str">
        <f t="shared" si="59"/>
        <v>Outlier</v>
      </c>
    </row>
    <row r="624" spans="1:23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  <c r="Q624" t="str">
        <f>IF(COUNTIF($A$2:A624,A624)&gt;1,"Duplicate","Unique")</f>
        <v>Unique</v>
      </c>
      <c r="R624" t="str">
        <f t="shared" si="54"/>
        <v>Valid</v>
      </c>
      <c r="S624" t="str">
        <f t="shared" si="55"/>
        <v>Valid</v>
      </c>
      <c r="T624" t="str">
        <f t="shared" si="56"/>
        <v>Valid</v>
      </c>
      <c r="U624" t="str">
        <f t="shared" si="57"/>
        <v>Valid</v>
      </c>
      <c r="V624" t="str">
        <f t="shared" si="58"/>
        <v>Valid</v>
      </c>
      <c r="W624" t="str">
        <f t="shared" si="59"/>
        <v>Outlier</v>
      </c>
    </row>
    <row r="625" spans="1:23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  <c r="Q625" t="str">
        <f>IF(COUNTIF($A$2:A625,A625)&gt;1,"Duplicate","Unique")</f>
        <v>Unique</v>
      </c>
      <c r="R625" t="str">
        <f t="shared" si="54"/>
        <v>Valid</v>
      </c>
      <c r="S625" t="str">
        <f t="shared" si="55"/>
        <v>Valid</v>
      </c>
      <c r="T625" t="str">
        <f t="shared" si="56"/>
        <v>Valid</v>
      </c>
      <c r="U625" t="str">
        <f t="shared" si="57"/>
        <v>Valid</v>
      </c>
      <c r="V625" t="str">
        <f t="shared" si="58"/>
        <v>Valid</v>
      </c>
      <c r="W625" t="str">
        <f t="shared" si="59"/>
        <v>Outlier</v>
      </c>
    </row>
    <row r="626" spans="1:23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  <c r="Q626" t="str">
        <f>IF(COUNTIF($A$2:A626,A626)&gt;1,"Duplicate","Unique")</f>
        <v>Unique</v>
      </c>
      <c r="R626" t="str">
        <f t="shared" si="54"/>
        <v>Valid</v>
      </c>
      <c r="S626" t="str">
        <f t="shared" si="55"/>
        <v>Valid</v>
      </c>
      <c r="T626" t="str">
        <f t="shared" si="56"/>
        <v>Valid</v>
      </c>
      <c r="U626" t="str">
        <f t="shared" si="57"/>
        <v>Valid</v>
      </c>
      <c r="V626" t="str">
        <f t="shared" si="58"/>
        <v>Valid</v>
      </c>
      <c r="W626" t="str">
        <f t="shared" si="59"/>
        <v>Outlier</v>
      </c>
    </row>
    <row r="627" spans="1:23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  <c r="Q627" t="str">
        <f>IF(COUNTIF($A$2:A627,A627)&gt;1,"Duplicate","Unique")</f>
        <v>Unique</v>
      </c>
      <c r="R627" t="str">
        <f t="shared" si="54"/>
        <v>Valid</v>
      </c>
      <c r="S627" t="str">
        <f t="shared" si="55"/>
        <v>Valid</v>
      </c>
      <c r="T627" t="str">
        <f t="shared" si="56"/>
        <v>Valid</v>
      </c>
      <c r="U627" t="str">
        <f t="shared" si="57"/>
        <v>Valid</v>
      </c>
      <c r="V627" t="str">
        <f t="shared" si="58"/>
        <v>Valid</v>
      </c>
      <c r="W627" t="str">
        <f t="shared" si="59"/>
        <v>Outlier</v>
      </c>
    </row>
    <row r="628" spans="1:23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  <c r="Q628" t="str">
        <f>IF(COUNTIF($A$2:A628,A628)&gt;1,"Duplicate","Unique")</f>
        <v>Unique</v>
      </c>
      <c r="R628" t="str">
        <f t="shared" si="54"/>
        <v>Valid</v>
      </c>
      <c r="S628" t="str">
        <f t="shared" si="55"/>
        <v>Valid</v>
      </c>
      <c r="T628" t="str">
        <f t="shared" si="56"/>
        <v>Valid</v>
      </c>
      <c r="U628" t="str">
        <f t="shared" si="57"/>
        <v>Valid</v>
      </c>
      <c r="V628" t="str">
        <f t="shared" si="58"/>
        <v>Valid</v>
      </c>
      <c r="W628" t="str">
        <f t="shared" si="59"/>
        <v>Outlier</v>
      </c>
    </row>
    <row r="629" spans="1:23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  <c r="Q629" t="str">
        <f>IF(COUNTIF($A$2:A629,A629)&gt;1,"Duplicate","Unique")</f>
        <v>Unique</v>
      </c>
      <c r="R629" t="str">
        <f t="shared" si="54"/>
        <v>Valid</v>
      </c>
      <c r="S629" t="str">
        <f t="shared" si="55"/>
        <v>Valid</v>
      </c>
      <c r="T629" t="str">
        <f t="shared" si="56"/>
        <v>Valid</v>
      </c>
      <c r="U629" t="str">
        <f t="shared" si="57"/>
        <v>Valid</v>
      </c>
      <c r="V629" t="str">
        <f t="shared" si="58"/>
        <v>Valid</v>
      </c>
      <c r="W629" t="str">
        <f t="shared" si="59"/>
        <v>Outlier</v>
      </c>
    </row>
    <row r="630" spans="1:23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  <c r="Q630" t="str">
        <f>IF(COUNTIF($A$2:A630,A630)&gt;1,"Duplicate","Unique")</f>
        <v>Unique</v>
      </c>
      <c r="R630" t="str">
        <f t="shared" si="54"/>
        <v>Valid</v>
      </c>
      <c r="S630" t="str">
        <f t="shared" si="55"/>
        <v>Valid</v>
      </c>
      <c r="T630" t="str">
        <f t="shared" si="56"/>
        <v>Valid</v>
      </c>
      <c r="U630" t="str">
        <f t="shared" si="57"/>
        <v>Valid</v>
      </c>
      <c r="V630" t="str">
        <f t="shared" si="58"/>
        <v>Valid</v>
      </c>
      <c r="W630" t="str">
        <f t="shared" si="59"/>
        <v>Outlier</v>
      </c>
    </row>
    <row r="631" spans="1:23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  <c r="Q631" t="str">
        <f>IF(COUNTIF($A$2:A631,A631)&gt;1,"Duplicate","Unique")</f>
        <v>Unique</v>
      </c>
      <c r="R631" t="str">
        <f t="shared" si="54"/>
        <v>Valid</v>
      </c>
      <c r="S631" t="str">
        <f t="shared" si="55"/>
        <v>Valid</v>
      </c>
      <c r="T631" t="str">
        <f t="shared" si="56"/>
        <v>Valid</v>
      </c>
      <c r="U631" t="str">
        <f t="shared" si="57"/>
        <v>Valid</v>
      </c>
      <c r="V631" t="str">
        <f t="shared" si="58"/>
        <v>Valid</v>
      </c>
      <c r="W631" t="str">
        <f t="shared" si="59"/>
        <v>Outlier</v>
      </c>
    </row>
    <row r="632" spans="1:23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  <c r="Q632" t="str">
        <f>IF(COUNTIF($A$2:A632,A632)&gt;1,"Duplicate","Unique")</f>
        <v>Unique</v>
      </c>
      <c r="R632" t="str">
        <f t="shared" si="54"/>
        <v>Valid</v>
      </c>
      <c r="S632" t="str">
        <f t="shared" si="55"/>
        <v>Valid</v>
      </c>
      <c r="T632" t="str">
        <f t="shared" si="56"/>
        <v>Valid</v>
      </c>
      <c r="U632" t="str">
        <f t="shared" si="57"/>
        <v>Valid</v>
      </c>
      <c r="V632" t="str">
        <f t="shared" si="58"/>
        <v>Valid</v>
      </c>
      <c r="W632" t="str">
        <f t="shared" si="59"/>
        <v>Outlier</v>
      </c>
    </row>
    <row r="633" spans="1:23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Q633" t="str">
        <f>IF(COUNTIF($A$2:A633,A633)&gt;1,"Duplicate","Unique")</f>
        <v>Unique</v>
      </c>
      <c r="R633" t="str">
        <f t="shared" si="54"/>
        <v>Valid</v>
      </c>
      <c r="S633" t="str">
        <f t="shared" si="55"/>
        <v>Valid</v>
      </c>
      <c r="T633" t="str">
        <f t="shared" si="56"/>
        <v>Valid</v>
      </c>
      <c r="U633" t="str">
        <f t="shared" si="57"/>
        <v>Valid</v>
      </c>
      <c r="V633" t="str">
        <f t="shared" si="58"/>
        <v>Valid</v>
      </c>
      <c r="W633" t="str">
        <f t="shared" si="59"/>
        <v>Outlier</v>
      </c>
    </row>
    <row r="634" spans="1:23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  <c r="Q634" t="str">
        <f>IF(COUNTIF($A$2:A634,A634)&gt;1,"Duplicate","Unique")</f>
        <v>Unique</v>
      </c>
      <c r="R634" t="str">
        <f t="shared" si="54"/>
        <v>Valid</v>
      </c>
      <c r="S634" t="str">
        <f t="shared" si="55"/>
        <v>Valid</v>
      </c>
      <c r="T634" t="str">
        <f t="shared" si="56"/>
        <v>Valid</v>
      </c>
      <c r="U634" t="str">
        <f t="shared" si="57"/>
        <v>Valid</v>
      </c>
      <c r="V634" t="str">
        <f t="shared" si="58"/>
        <v>Valid</v>
      </c>
      <c r="W634" t="str">
        <f t="shared" si="59"/>
        <v>Outlier</v>
      </c>
    </row>
    <row r="635" spans="1:23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  <c r="Q635" t="str">
        <f>IF(COUNTIF($A$2:A635,A635)&gt;1,"Duplicate","Unique")</f>
        <v>Unique</v>
      </c>
      <c r="R635" t="str">
        <f t="shared" si="54"/>
        <v>Valid</v>
      </c>
      <c r="S635" t="str">
        <f t="shared" si="55"/>
        <v>Valid</v>
      </c>
      <c r="T635" t="str">
        <f t="shared" si="56"/>
        <v>Valid</v>
      </c>
      <c r="U635" t="str">
        <f t="shared" si="57"/>
        <v>Valid</v>
      </c>
      <c r="V635" t="str">
        <f t="shared" si="58"/>
        <v>Valid</v>
      </c>
      <c r="W635" t="str">
        <f t="shared" si="59"/>
        <v>Outlier</v>
      </c>
    </row>
    <row r="636" spans="1:23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  <c r="Q636" t="str">
        <f>IF(COUNTIF($A$2:A636,A636)&gt;1,"Duplicate","Unique")</f>
        <v>Unique</v>
      </c>
      <c r="R636" t="str">
        <f t="shared" si="54"/>
        <v>Valid</v>
      </c>
      <c r="S636" t="str">
        <f t="shared" si="55"/>
        <v>Valid</v>
      </c>
      <c r="T636" t="str">
        <f t="shared" si="56"/>
        <v>Valid</v>
      </c>
      <c r="U636" t="str">
        <f t="shared" si="57"/>
        <v>Valid</v>
      </c>
      <c r="V636" t="str">
        <f t="shared" si="58"/>
        <v>Valid</v>
      </c>
      <c r="W636" t="str">
        <f t="shared" si="59"/>
        <v>Outlier</v>
      </c>
    </row>
    <row r="637" spans="1:23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  <c r="Q637" t="str">
        <f>IF(COUNTIF($A$2:A637,A637)&gt;1,"Duplicate","Unique")</f>
        <v>Unique</v>
      </c>
      <c r="R637" t="str">
        <f t="shared" si="54"/>
        <v>Valid</v>
      </c>
      <c r="S637" t="str">
        <f t="shared" si="55"/>
        <v>Valid</v>
      </c>
      <c r="T637" t="str">
        <f t="shared" si="56"/>
        <v>Valid</v>
      </c>
      <c r="U637" t="str">
        <f t="shared" si="57"/>
        <v>Valid</v>
      </c>
      <c r="V637" t="str">
        <f t="shared" si="58"/>
        <v>Valid</v>
      </c>
      <c r="W637" t="str">
        <f t="shared" si="59"/>
        <v>Outlier</v>
      </c>
    </row>
    <row r="638" spans="1:23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  <c r="Q638" t="str">
        <f>IF(COUNTIF($A$2:A638,A638)&gt;1,"Duplicate","Unique")</f>
        <v>Unique</v>
      </c>
      <c r="R638" t="str">
        <f t="shared" si="54"/>
        <v>Valid</v>
      </c>
      <c r="S638" t="str">
        <f t="shared" si="55"/>
        <v>Valid</v>
      </c>
      <c r="T638" t="str">
        <f t="shared" si="56"/>
        <v>Valid</v>
      </c>
      <c r="U638" t="str">
        <f t="shared" si="57"/>
        <v>Valid</v>
      </c>
      <c r="V638" t="str">
        <f t="shared" si="58"/>
        <v>Valid</v>
      </c>
      <c r="W638" t="str">
        <f t="shared" si="59"/>
        <v>Outlier</v>
      </c>
    </row>
    <row r="639" spans="1:23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  <c r="Q639" t="str">
        <f>IF(COUNTIF($A$2:A639,A639)&gt;1,"Duplicate","Unique")</f>
        <v>Unique</v>
      </c>
      <c r="R639" t="str">
        <f t="shared" si="54"/>
        <v>Valid</v>
      </c>
      <c r="S639" t="str">
        <f t="shared" si="55"/>
        <v>Valid</v>
      </c>
      <c r="T639" t="str">
        <f t="shared" si="56"/>
        <v>Valid</v>
      </c>
      <c r="U639" t="str">
        <f t="shared" si="57"/>
        <v>Valid</v>
      </c>
      <c r="V639" t="str">
        <f t="shared" si="58"/>
        <v>Valid</v>
      </c>
      <c r="W639" t="str">
        <f t="shared" si="59"/>
        <v>Outlier</v>
      </c>
    </row>
    <row r="640" spans="1:23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  <c r="Q640" t="str">
        <f>IF(COUNTIF($A$2:A640,A640)&gt;1,"Duplicate","Unique")</f>
        <v>Unique</v>
      </c>
      <c r="R640" t="str">
        <f t="shared" si="54"/>
        <v>Valid</v>
      </c>
      <c r="S640" t="str">
        <f t="shared" si="55"/>
        <v>Valid</v>
      </c>
      <c r="T640" t="str">
        <f t="shared" si="56"/>
        <v>Valid</v>
      </c>
      <c r="U640" t="str">
        <f t="shared" si="57"/>
        <v>Valid</v>
      </c>
      <c r="V640" t="str">
        <f t="shared" si="58"/>
        <v>Valid</v>
      </c>
      <c r="W640" t="str">
        <f t="shared" si="59"/>
        <v>Outlier</v>
      </c>
    </row>
    <row r="641" spans="1:23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  <c r="Q641" t="str">
        <f>IF(COUNTIF($A$2:A641,A641)&gt;1,"Duplicate","Unique")</f>
        <v>Unique</v>
      </c>
      <c r="R641" t="str">
        <f t="shared" si="54"/>
        <v>Valid</v>
      </c>
      <c r="S641" t="str">
        <f t="shared" si="55"/>
        <v>Valid</v>
      </c>
      <c r="T641" t="str">
        <f t="shared" si="56"/>
        <v>Valid</v>
      </c>
      <c r="U641" t="str">
        <f t="shared" si="57"/>
        <v>Valid</v>
      </c>
      <c r="V641" t="str">
        <f t="shared" si="58"/>
        <v>Valid</v>
      </c>
      <c r="W641" t="str">
        <f t="shared" si="59"/>
        <v>Outlier</v>
      </c>
    </row>
    <row r="642" spans="1:23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  <c r="Q642" t="str">
        <f>IF(COUNTIF($A$2:A642,A642)&gt;1,"Duplicate","Unique")</f>
        <v>Unique</v>
      </c>
      <c r="R642" t="str">
        <f t="shared" si="54"/>
        <v>Valid</v>
      </c>
      <c r="S642" t="str">
        <f t="shared" si="55"/>
        <v>Valid</v>
      </c>
      <c r="T642" t="str">
        <f t="shared" si="56"/>
        <v>Valid</v>
      </c>
      <c r="U642" t="str">
        <f t="shared" si="57"/>
        <v>Valid</v>
      </c>
      <c r="V642" t="str">
        <f t="shared" si="58"/>
        <v>Valid</v>
      </c>
      <c r="W642" t="str">
        <f t="shared" si="59"/>
        <v>Outlier</v>
      </c>
    </row>
    <row r="643" spans="1:23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  <c r="Q643" t="str">
        <f>IF(COUNTIF($A$2:A643,A643)&gt;1,"Duplicate","Unique")</f>
        <v>Unique</v>
      </c>
      <c r="R643" t="str">
        <f t="shared" ref="R643:R706" si="60">IF(OR(H643=0,H643=1),"Valid","Invalid")</f>
        <v>Valid</v>
      </c>
      <c r="S643" t="str">
        <f t="shared" ref="S643:S706" si="61">IF(OR(I643=0,I643=1),"Valid","Invalid")</f>
        <v>Valid</v>
      </c>
      <c r="T643" t="str">
        <f t="shared" ref="T643:T706" si="62">IF(OR(J643=0,J643=1),"Valid","Invalid")</f>
        <v>Valid</v>
      </c>
      <c r="U643" t="str">
        <f t="shared" ref="U643:U706" si="63">IF(OR(K643=0,K643=1),"Valid","Invalid")</f>
        <v>Valid</v>
      </c>
      <c r="V643" t="str">
        <f t="shared" ref="V643:V706" si="64">IF(OR(N643=0,N643=1),"Valid","Invalid")</f>
        <v>Valid</v>
      </c>
      <c r="W643" t="str">
        <f t="shared" ref="W643:W706" si="65">IF(OR(L643&lt;$B$23,L643&gt;$B$24),"Outlier","Normal")</f>
        <v>Outlier</v>
      </c>
    </row>
    <row r="644" spans="1:23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  <c r="Q644" t="str">
        <f>IF(COUNTIF($A$2:A644,A644)&gt;1,"Duplicate","Unique")</f>
        <v>Unique</v>
      </c>
      <c r="R644" t="str">
        <f t="shared" si="60"/>
        <v>Valid</v>
      </c>
      <c r="S644" t="str">
        <f t="shared" si="61"/>
        <v>Valid</v>
      </c>
      <c r="T644" t="str">
        <f t="shared" si="62"/>
        <v>Valid</v>
      </c>
      <c r="U644" t="str">
        <f t="shared" si="63"/>
        <v>Valid</v>
      </c>
      <c r="V644" t="str">
        <f t="shared" si="64"/>
        <v>Valid</v>
      </c>
      <c r="W644" t="str">
        <f t="shared" si="65"/>
        <v>Outlier</v>
      </c>
    </row>
    <row r="645" spans="1:23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  <c r="Q645" t="str">
        <f>IF(COUNTIF($A$2:A645,A645)&gt;1,"Duplicate","Unique")</f>
        <v>Unique</v>
      </c>
      <c r="R645" t="str">
        <f t="shared" si="60"/>
        <v>Valid</v>
      </c>
      <c r="S645" t="str">
        <f t="shared" si="61"/>
        <v>Valid</v>
      </c>
      <c r="T645" t="str">
        <f t="shared" si="62"/>
        <v>Valid</v>
      </c>
      <c r="U645" t="str">
        <f t="shared" si="63"/>
        <v>Valid</v>
      </c>
      <c r="V645" t="str">
        <f t="shared" si="64"/>
        <v>Valid</v>
      </c>
      <c r="W645" t="str">
        <f t="shared" si="65"/>
        <v>Outlier</v>
      </c>
    </row>
    <row r="646" spans="1:23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  <c r="Q646" t="str">
        <f>IF(COUNTIF($A$2:A646,A646)&gt;1,"Duplicate","Unique")</f>
        <v>Unique</v>
      </c>
      <c r="R646" t="str">
        <f t="shared" si="60"/>
        <v>Valid</v>
      </c>
      <c r="S646" t="str">
        <f t="shared" si="61"/>
        <v>Valid</v>
      </c>
      <c r="T646" t="str">
        <f t="shared" si="62"/>
        <v>Valid</v>
      </c>
      <c r="U646" t="str">
        <f t="shared" si="63"/>
        <v>Valid</v>
      </c>
      <c r="V646" t="str">
        <f t="shared" si="64"/>
        <v>Valid</v>
      </c>
      <c r="W646" t="str">
        <f t="shared" si="65"/>
        <v>Outlier</v>
      </c>
    </row>
    <row r="647" spans="1:23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  <c r="Q647" t="str">
        <f>IF(COUNTIF($A$2:A647,A647)&gt;1,"Duplicate","Unique")</f>
        <v>Unique</v>
      </c>
      <c r="R647" t="str">
        <f t="shared" si="60"/>
        <v>Valid</v>
      </c>
      <c r="S647" t="str">
        <f t="shared" si="61"/>
        <v>Valid</v>
      </c>
      <c r="T647" t="str">
        <f t="shared" si="62"/>
        <v>Valid</v>
      </c>
      <c r="U647" t="str">
        <f t="shared" si="63"/>
        <v>Valid</v>
      </c>
      <c r="V647" t="str">
        <f t="shared" si="64"/>
        <v>Valid</v>
      </c>
      <c r="W647" t="str">
        <f t="shared" si="65"/>
        <v>Outlier</v>
      </c>
    </row>
    <row r="648" spans="1:23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  <c r="Q648" t="str">
        <f>IF(COUNTIF($A$2:A648,A648)&gt;1,"Duplicate","Unique")</f>
        <v>Unique</v>
      </c>
      <c r="R648" t="str">
        <f t="shared" si="60"/>
        <v>Valid</v>
      </c>
      <c r="S648" t="str">
        <f t="shared" si="61"/>
        <v>Valid</v>
      </c>
      <c r="T648" t="str">
        <f t="shared" si="62"/>
        <v>Valid</v>
      </c>
      <c r="U648" t="str">
        <f t="shared" si="63"/>
        <v>Valid</v>
      </c>
      <c r="V648" t="str">
        <f t="shared" si="64"/>
        <v>Valid</v>
      </c>
      <c r="W648" t="str">
        <f t="shared" si="65"/>
        <v>Outlier</v>
      </c>
    </row>
    <row r="649" spans="1:23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  <c r="Q649" t="str">
        <f>IF(COUNTIF($A$2:A649,A649)&gt;1,"Duplicate","Unique")</f>
        <v>Unique</v>
      </c>
      <c r="R649" t="str">
        <f t="shared" si="60"/>
        <v>Valid</v>
      </c>
      <c r="S649" t="str">
        <f t="shared" si="61"/>
        <v>Valid</v>
      </c>
      <c r="T649" t="str">
        <f t="shared" si="62"/>
        <v>Valid</v>
      </c>
      <c r="U649" t="str">
        <f t="shared" si="63"/>
        <v>Valid</v>
      </c>
      <c r="V649" t="str">
        <f t="shared" si="64"/>
        <v>Valid</v>
      </c>
      <c r="W649" t="str">
        <f t="shared" si="65"/>
        <v>Outlier</v>
      </c>
    </row>
    <row r="650" spans="1:23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  <c r="Q650" t="str">
        <f>IF(COUNTIF($A$2:A650,A650)&gt;1,"Duplicate","Unique")</f>
        <v>Unique</v>
      </c>
      <c r="R650" t="str">
        <f t="shared" si="60"/>
        <v>Valid</v>
      </c>
      <c r="S650" t="str">
        <f t="shared" si="61"/>
        <v>Valid</v>
      </c>
      <c r="T650" t="str">
        <f t="shared" si="62"/>
        <v>Valid</v>
      </c>
      <c r="U650" t="str">
        <f t="shared" si="63"/>
        <v>Valid</v>
      </c>
      <c r="V650" t="str">
        <f t="shared" si="64"/>
        <v>Valid</v>
      </c>
      <c r="W650" t="str">
        <f t="shared" si="65"/>
        <v>Outlier</v>
      </c>
    </row>
    <row r="651" spans="1:23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  <c r="Q651" t="str">
        <f>IF(COUNTIF($A$2:A651,A651)&gt;1,"Duplicate","Unique")</f>
        <v>Unique</v>
      </c>
      <c r="R651" t="str">
        <f t="shared" si="60"/>
        <v>Valid</v>
      </c>
      <c r="S651" t="str">
        <f t="shared" si="61"/>
        <v>Valid</v>
      </c>
      <c r="T651" t="str">
        <f t="shared" si="62"/>
        <v>Valid</v>
      </c>
      <c r="U651" t="str">
        <f t="shared" si="63"/>
        <v>Valid</v>
      </c>
      <c r="V651" t="str">
        <f t="shared" si="64"/>
        <v>Valid</v>
      </c>
      <c r="W651" t="str">
        <f t="shared" si="65"/>
        <v>Outlier</v>
      </c>
    </row>
    <row r="652" spans="1:23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  <c r="Q652" t="str">
        <f>IF(COUNTIF($A$2:A652,A652)&gt;1,"Duplicate","Unique")</f>
        <v>Unique</v>
      </c>
      <c r="R652" t="str">
        <f t="shared" si="60"/>
        <v>Valid</v>
      </c>
      <c r="S652" t="str">
        <f t="shared" si="61"/>
        <v>Valid</v>
      </c>
      <c r="T652" t="str">
        <f t="shared" si="62"/>
        <v>Valid</v>
      </c>
      <c r="U652" t="str">
        <f t="shared" si="63"/>
        <v>Valid</v>
      </c>
      <c r="V652" t="str">
        <f t="shared" si="64"/>
        <v>Valid</v>
      </c>
      <c r="W652" t="str">
        <f t="shared" si="65"/>
        <v>Outlier</v>
      </c>
    </row>
    <row r="653" spans="1:23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  <c r="Q653" t="str">
        <f>IF(COUNTIF($A$2:A653,A653)&gt;1,"Duplicate","Unique")</f>
        <v>Unique</v>
      </c>
      <c r="R653" t="str">
        <f t="shared" si="60"/>
        <v>Valid</v>
      </c>
      <c r="S653" t="str">
        <f t="shared" si="61"/>
        <v>Valid</v>
      </c>
      <c r="T653" t="str">
        <f t="shared" si="62"/>
        <v>Valid</v>
      </c>
      <c r="U653" t="str">
        <f t="shared" si="63"/>
        <v>Valid</v>
      </c>
      <c r="V653" t="str">
        <f t="shared" si="64"/>
        <v>Valid</v>
      </c>
      <c r="W653" t="str">
        <f t="shared" si="65"/>
        <v>Outlier</v>
      </c>
    </row>
    <row r="654" spans="1:23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  <c r="Q654" t="str">
        <f>IF(COUNTIF($A$2:A654,A654)&gt;1,"Duplicate","Unique")</f>
        <v>Unique</v>
      </c>
      <c r="R654" t="str">
        <f t="shared" si="60"/>
        <v>Valid</v>
      </c>
      <c r="S654" t="str">
        <f t="shared" si="61"/>
        <v>Valid</v>
      </c>
      <c r="T654" t="str">
        <f t="shared" si="62"/>
        <v>Valid</v>
      </c>
      <c r="U654" t="str">
        <f t="shared" si="63"/>
        <v>Valid</v>
      </c>
      <c r="V654" t="str">
        <f t="shared" si="64"/>
        <v>Valid</v>
      </c>
      <c r="W654" t="str">
        <f t="shared" si="65"/>
        <v>Outlier</v>
      </c>
    </row>
    <row r="655" spans="1:23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  <c r="Q655" t="str">
        <f>IF(COUNTIF($A$2:A655,A655)&gt;1,"Duplicate","Unique")</f>
        <v>Unique</v>
      </c>
      <c r="R655" t="str">
        <f t="shared" si="60"/>
        <v>Valid</v>
      </c>
      <c r="S655" t="str">
        <f t="shared" si="61"/>
        <v>Valid</v>
      </c>
      <c r="T655" t="str">
        <f t="shared" si="62"/>
        <v>Valid</v>
      </c>
      <c r="U655" t="str">
        <f t="shared" si="63"/>
        <v>Valid</v>
      </c>
      <c r="V655" t="str">
        <f t="shared" si="64"/>
        <v>Valid</v>
      </c>
      <c r="W655" t="str">
        <f t="shared" si="65"/>
        <v>Outlier</v>
      </c>
    </row>
    <row r="656" spans="1:23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  <c r="Q656" t="str">
        <f>IF(COUNTIF($A$2:A656,A656)&gt;1,"Duplicate","Unique")</f>
        <v>Unique</v>
      </c>
      <c r="R656" t="str">
        <f t="shared" si="60"/>
        <v>Valid</v>
      </c>
      <c r="S656" t="str">
        <f t="shared" si="61"/>
        <v>Valid</v>
      </c>
      <c r="T656" t="str">
        <f t="shared" si="62"/>
        <v>Valid</v>
      </c>
      <c r="U656" t="str">
        <f t="shared" si="63"/>
        <v>Valid</v>
      </c>
      <c r="V656" t="str">
        <f t="shared" si="64"/>
        <v>Valid</v>
      </c>
      <c r="W656" t="str">
        <f t="shared" si="65"/>
        <v>Outlier</v>
      </c>
    </row>
    <row r="657" spans="1:23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  <c r="Q657" t="str">
        <f>IF(COUNTIF($A$2:A657,A657)&gt;1,"Duplicate","Unique")</f>
        <v>Unique</v>
      </c>
      <c r="R657" t="str">
        <f t="shared" si="60"/>
        <v>Valid</v>
      </c>
      <c r="S657" t="str">
        <f t="shared" si="61"/>
        <v>Valid</v>
      </c>
      <c r="T657" t="str">
        <f t="shared" si="62"/>
        <v>Valid</v>
      </c>
      <c r="U657" t="str">
        <f t="shared" si="63"/>
        <v>Valid</v>
      </c>
      <c r="V657" t="str">
        <f t="shared" si="64"/>
        <v>Valid</v>
      </c>
      <c r="W657" t="str">
        <f t="shared" si="65"/>
        <v>Outlier</v>
      </c>
    </row>
    <row r="658" spans="1:23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  <c r="Q658" t="str">
        <f>IF(COUNTIF($A$2:A658,A658)&gt;1,"Duplicate","Unique")</f>
        <v>Unique</v>
      </c>
      <c r="R658" t="str">
        <f t="shared" si="60"/>
        <v>Valid</v>
      </c>
      <c r="S658" t="str">
        <f t="shared" si="61"/>
        <v>Valid</v>
      </c>
      <c r="T658" t="str">
        <f t="shared" si="62"/>
        <v>Valid</v>
      </c>
      <c r="U658" t="str">
        <f t="shared" si="63"/>
        <v>Valid</v>
      </c>
      <c r="V658" t="str">
        <f t="shared" si="64"/>
        <v>Valid</v>
      </c>
      <c r="W658" t="str">
        <f t="shared" si="65"/>
        <v>Outlier</v>
      </c>
    </row>
    <row r="659" spans="1:23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  <c r="Q659" t="str">
        <f>IF(COUNTIF($A$2:A659,A659)&gt;1,"Duplicate","Unique")</f>
        <v>Unique</v>
      </c>
      <c r="R659" t="str">
        <f t="shared" si="60"/>
        <v>Valid</v>
      </c>
      <c r="S659" t="str">
        <f t="shared" si="61"/>
        <v>Valid</v>
      </c>
      <c r="T659" t="str">
        <f t="shared" si="62"/>
        <v>Valid</v>
      </c>
      <c r="U659" t="str">
        <f t="shared" si="63"/>
        <v>Valid</v>
      </c>
      <c r="V659" t="str">
        <f t="shared" si="64"/>
        <v>Valid</v>
      </c>
      <c r="W659" t="str">
        <f t="shared" si="65"/>
        <v>Outlier</v>
      </c>
    </row>
    <row r="660" spans="1:23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  <c r="Q660" t="str">
        <f>IF(COUNTIF($A$2:A660,A660)&gt;1,"Duplicate","Unique")</f>
        <v>Unique</v>
      </c>
      <c r="R660" t="str">
        <f t="shared" si="60"/>
        <v>Valid</v>
      </c>
      <c r="S660" t="str">
        <f t="shared" si="61"/>
        <v>Valid</v>
      </c>
      <c r="T660" t="str">
        <f t="shared" si="62"/>
        <v>Valid</v>
      </c>
      <c r="U660" t="str">
        <f t="shared" si="63"/>
        <v>Valid</v>
      </c>
      <c r="V660" t="str">
        <f t="shared" si="64"/>
        <v>Valid</v>
      </c>
      <c r="W660" t="str">
        <f t="shared" si="65"/>
        <v>Outlier</v>
      </c>
    </row>
    <row r="661" spans="1:23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  <c r="Q661" t="str">
        <f>IF(COUNTIF($A$2:A661,A661)&gt;1,"Duplicate","Unique")</f>
        <v>Unique</v>
      </c>
      <c r="R661" t="str">
        <f t="shared" si="60"/>
        <v>Valid</v>
      </c>
      <c r="S661" t="str">
        <f t="shared" si="61"/>
        <v>Valid</v>
      </c>
      <c r="T661" t="str">
        <f t="shared" si="62"/>
        <v>Valid</v>
      </c>
      <c r="U661" t="str">
        <f t="shared" si="63"/>
        <v>Valid</v>
      </c>
      <c r="V661" t="str">
        <f t="shared" si="64"/>
        <v>Valid</v>
      </c>
      <c r="W661" t="str">
        <f t="shared" si="65"/>
        <v>Outlier</v>
      </c>
    </row>
    <row r="662" spans="1:23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  <c r="Q662" t="str">
        <f>IF(COUNTIF($A$2:A662,A662)&gt;1,"Duplicate","Unique")</f>
        <v>Unique</v>
      </c>
      <c r="R662" t="str">
        <f t="shared" si="60"/>
        <v>Valid</v>
      </c>
      <c r="S662" t="str">
        <f t="shared" si="61"/>
        <v>Valid</v>
      </c>
      <c r="T662" t="str">
        <f t="shared" si="62"/>
        <v>Valid</v>
      </c>
      <c r="U662" t="str">
        <f t="shared" si="63"/>
        <v>Valid</v>
      </c>
      <c r="V662" t="str">
        <f t="shared" si="64"/>
        <v>Valid</v>
      </c>
      <c r="W662" t="str">
        <f t="shared" si="65"/>
        <v>Outlier</v>
      </c>
    </row>
    <row r="663" spans="1:23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  <c r="Q663" t="str">
        <f>IF(COUNTIF($A$2:A663,A663)&gt;1,"Duplicate","Unique")</f>
        <v>Unique</v>
      </c>
      <c r="R663" t="str">
        <f t="shared" si="60"/>
        <v>Valid</v>
      </c>
      <c r="S663" t="str">
        <f t="shared" si="61"/>
        <v>Valid</v>
      </c>
      <c r="T663" t="str">
        <f t="shared" si="62"/>
        <v>Valid</v>
      </c>
      <c r="U663" t="str">
        <f t="shared" si="63"/>
        <v>Valid</v>
      </c>
      <c r="V663" t="str">
        <f t="shared" si="64"/>
        <v>Valid</v>
      </c>
      <c r="W663" t="str">
        <f t="shared" si="65"/>
        <v>Outlier</v>
      </c>
    </row>
    <row r="664" spans="1:23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  <c r="Q664" t="str">
        <f>IF(COUNTIF($A$2:A664,A664)&gt;1,"Duplicate","Unique")</f>
        <v>Unique</v>
      </c>
      <c r="R664" t="str">
        <f t="shared" si="60"/>
        <v>Valid</v>
      </c>
      <c r="S664" t="str">
        <f t="shared" si="61"/>
        <v>Valid</v>
      </c>
      <c r="T664" t="str">
        <f t="shared" si="62"/>
        <v>Valid</v>
      </c>
      <c r="U664" t="str">
        <f t="shared" si="63"/>
        <v>Valid</v>
      </c>
      <c r="V664" t="str">
        <f t="shared" si="64"/>
        <v>Valid</v>
      </c>
      <c r="W664" t="str">
        <f t="shared" si="65"/>
        <v>Outlier</v>
      </c>
    </row>
    <row r="665" spans="1:23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  <c r="Q665" t="str">
        <f>IF(COUNTIF($A$2:A665,A665)&gt;1,"Duplicate","Unique")</f>
        <v>Unique</v>
      </c>
      <c r="R665" t="str">
        <f t="shared" si="60"/>
        <v>Valid</v>
      </c>
      <c r="S665" t="str">
        <f t="shared" si="61"/>
        <v>Valid</v>
      </c>
      <c r="T665" t="str">
        <f t="shared" si="62"/>
        <v>Valid</v>
      </c>
      <c r="U665" t="str">
        <f t="shared" si="63"/>
        <v>Valid</v>
      </c>
      <c r="V665" t="str">
        <f t="shared" si="64"/>
        <v>Valid</v>
      </c>
      <c r="W665" t="str">
        <f t="shared" si="65"/>
        <v>Outlier</v>
      </c>
    </row>
    <row r="666" spans="1:23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  <c r="Q666" t="str">
        <f>IF(COUNTIF($A$2:A666,A666)&gt;1,"Duplicate","Unique")</f>
        <v>Unique</v>
      </c>
      <c r="R666" t="str">
        <f t="shared" si="60"/>
        <v>Valid</v>
      </c>
      <c r="S666" t="str">
        <f t="shared" si="61"/>
        <v>Valid</v>
      </c>
      <c r="T666" t="str">
        <f t="shared" si="62"/>
        <v>Valid</v>
      </c>
      <c r="U666" t="str">
        <f t="shared" si="63"/>
        <v>Valid</v>
      </c>
      <c r="V666" t="str">
        <f t="shared" si="64"/>
        <v>Valid</v>
      </c>
      <c r="W666" t="str">
        <f t="shared" si="65"/>
        <v>Outlier</v>
      </c>
    </row>
    <row r="667" spans="1:23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  <c r="Q667" t="str">
        <f>IF(COUNTIF($A$2:A667,A667)&gt;1,"Duplicate","Unique")</f>
        <v>Unique</v>
      </c>
      <c r="R667" t="str">
        <f t="shared" si="60"/>
        <v>Valid</v>
      </c>
      <c r="S667" t="str">
        <f t="shared" si="61"/>
        <v>Valid</v>
      </c>
      <c r="T667" t="str">
        <f t="shared" si="62"/>
        <v>Valid</v>
      </c>
      <c r="U667" t="str">
        <f t="shared" si="63"/>
        <v>Valid</v>
      </c>
      <c r="V667" t="str">
        <f t="shared" si="64"/>
        <v>Valid</v>
      </c>
      <c r="W667" t="str">
        <f t="shared" si="65"/>
        <v>Outlier</v>
      </c>
    </row>
    <row r="668" spans="1:23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  <c r="Q668" t="str">
        <f>IF(COUNTIF($A$2:A668,A668)&gt;1,"Duplicate","Unique")</f>
        <v>Unique</v>
      </c>
      <c r="R668" t="str">
        <f t="shared" si="60"/>
        <v>Valid</v>
      </c>
      <c r="S668" t="str">
        <f t="shared" si="61"/>
        <v>Valid</v>
      </c>
      <c r="T668" t="str">
        <f t="shared" si="62"/>
        <v>Valid</v>
      </c>
      <c r="U668" t="str">
        <f t="shared" si="63"/>
        <v>Valid</v>
      </c>
      <c r="V668" t="str">
        <f t="shared" si="64"/>
        <v>Valid</v>
      </c>
      <c r="W668" t="str">
        <f t="shared" si="65"/>
        <v>Outlier</v>
      </c>
    </row>
    <row r="669" spans="1:23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  <c r="Q669" t="str">
        <f>IF(COUNTIF($A$2:A669,A669)&gt;1,"Duplicate","Unique")</f>
        <v>Unique</v>
      </c>
      <c r="R669" t="str">
        <f t="shared" si="60"/>
        <v>Valid</v>
      </c>
      <c r="S669" t="str">
        <f t="shared" si="61"/>
        <v>Valid</v>
      </c>
      <c r="T669" t="str">
        <f t="shared" si="62"/>
        <v>Valid</v>
      </c>
      <c r="U669" t="str">
        <f t="shared" si="63"/>
        <v>Valid</v>
      </c>
      <c r="V669" t="str">
        <f t="shared" si="64"/>
        <v>Valid</v>
      </c>
      <c r="W669" t="str">
        <f t="shared" si="65"/>
        <v>Outlier</v>
      </c>
    </row>
    <row r="670" spans="1:23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  <c r="Q670" t="str">
        <f>IF(COUNTIF($A$2:A670,A670)&gt;1,"Duplicate","Unique")</f>
        <v>Unique</v>
      </c>
      <c r="R670" t="str">
        <f t="shared" si="60"/>
        <v>Valid</v>
      </c>
      <c r="S670" t="str">
        <f t="shared" si="61"/>
        <v>Valid</v>
      </c>
      <c r="T670" t="str">
        <f t="shared" si="62"/>
        <v>Valid</v>
      </c>
      <c r="U670" t="str">
        <f t="shared" si="63"/>
        <v>Valid</v>
      </c>
      <c r="V670" t="str">
        <f t="shared" si="64"/>
        <v>Valid</v>
      </c>
      <c r="W670" t="str">
        <f t="shared" si="65"/>
        <v>Outlier</v>
      </c>
    </row>
    <row r="671" spans="1:23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  <c r="Q671" t="str">
        <f>IF(COUNTIF($A$2:A671,A671)&gt;1,"Duplicate","Unique")</f>
        <v>Unique</v>
      </c>
      <c r="R671" t="str">
        <f t="shared" si="60"/>
        <v>Valid</v>
      </c>
      <c r="S671" t="str">
        <f t="shared" si="61"/>
        <v>Valid</v>
      </c>
      <c r="T671" t="str">
        <f t="shared" si="62"/>
        <v>Valid</v>
      </c>
      <c r="U671" t="str">
        <f t="shared" si="63"/>
        <v>Valid</v>
      </c>
      <c r="V671" t="str">
        <f t="shared" si="64"/>
        <v>Valid</v>
      </c>
      <c r="W671" t="str">
        <f t="shared" si="65"/>
        <v>Outlier</v>
      </c>
    </row>
    <row r="672" spans="1:23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  <c r="Q672" t="str">
        <f>IF(COUNTIF($A$2:A672,A672)&gt;1,"Duplicate","Unique")</f>
        <v>Unique</v>
      </c>
      <c r="R672" t="str">
        <f t="shared" si="60"/>
        <v>Valid</v>
      </c>
      <c r="S672" t="str">
        <f t="shared" si="61"/>
        <v>Valid</v>
      </c>
      <c r="T672" t="str">
        <f t="shared" si="62"/>
        <v>Valid</v>
      </c>
      <c r="U672" t="str">
        <f t="shared" si="63"/>
        <v>Valid</v>
      </c>
      <c r="V672" t="str">
        <f t="shared" si="64"/>
        <v>Valid</v>
      </c>
      <c r="W672" t="str">
        <f t="shared" si="65"/>
        <v>Outlier</v>
      </c>
    </row>
    <row r="673" spans="1:23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  <c r="Q673" t="str">
        <f>IF(COUNTIF($A$2:A673,A673)&gt;1,"Duplicate","Unique")</f>
        <v>Unique</v>
      </c>
      <c r="R673" t="str">
        <f t="shared" si="60"/>
        <v>Valid</v>
      </c>
      <c r="S673" t="str">
        <f t="shared" si="61"/>
        <v>Valid</v>
      </c>
      <c r="T673" t="str">
        <f t="shared" si="62"/>
        <v>Valid</v>
      </c>
      <c r="U673" t="str">
        <f t="shared" si="63"/>
        <v>Valid</v>
      </c>
      <c r="V673" t="str">
        <f t="shared" si="64"/>
        <v>Valid</v>
      </c>
      <c r="W673" t="str">
        <f t="shared" si="65"/>
        <v>Outlier</v>
      </c>
    </row>
    <row r="674" spans="1:23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  <c r="Q674" t="str">
        <f>IF(COUNTIF($A$2:A674,A674)&gt;1,"Duplicate","Unique")</f>
        <v>Unique</v>
      </c>
      <c r="R674" t="str">
        <f t="shared" si="60"/>
        <v>Valid</v>
      </c>
      <c r="S674" t="str">
        <f t="shared" si="61"/>
        <v>Valid</v>
      </c>
      <c r="T674" t="str">
        <f t="shared" si="62"/>
        <v>Valid</v>
      </c>
      <c r="U674" t="str">
        <f t="shared" si="63"/>
        <v>Valid</v>
      </c>
      <c r="V674" t="str">
        <f t="shared" si="64"/>
        <v>Valid</v>
      </c>
      <c r="W674" t="str">
        <f t="shared" si="65"/>
        <v>Outlier</v>
      </c>
    </row>
    <row r="675" spans="1:23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  <c r="Q675" t="str">
        <f>IF(COUNTIF($A$2:A675,A675)&gt;1,"Duplicate","Unique")</f>
        <v>Unique</v>
      </c>
      <c r="R675" t="str">
        <f t="shared" si="60"/>
        <v>Valid</v>
      </c>
      <c r="S675" t="str">
        <f t="shared" si="61"/>
        <v>Valid</v>
      </c>
      <c r="T675" t="str">
        <f t="shared" si="62"/>
        <v>Valid</v>
      </c>
      <c r="U675" t="str">
        <f t="shared" si="63"/>
        <v>Valid</v>
      </c>
      <c r="V675" t="str">
        <f t="shared" si="64"/>
        <v>Valid</v>
      </c>
      <c r="W675" t="str">
        <f t="shared" si="65"/>
        <v>Outlier</v>
      </c>
    </row>
    <row r="676" spans="1:23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  <c r="Q676" t="str">
        <f>IF(COUNTIF($A$2:A676,A676)&gt;1,"Duplicate","Unique")</f>
        <v>Unique</v>
      </c>
      <c r="R676" t="str">
        <f t="shared" si="60"/>
        <v>Valid</v>
      </c>
      <c r="S676" t="str">
        <f t="shared" si="61"/>
        <v>Valid</v>
      </c>
      <c r="T676" t="str">
        <f t="shared" si="62"/>
        <v>Valid</v>
      </c>
      <c r="U676" t="str">
        <f t="shared" si="63"/>
        <v>Valid</v>
      </c>
      <c r="V676" t="str">
        <f t="shared" si="64"/>
        <v>Valid</v>
      </c>
      <c r="W676" t="str">
        <f t="shared" si="65"/>
        <v>Outlier</v>
      </c>
    </row>
    <row r="677" spans="1:23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  <c r="Q677" t="str">
        <f>IF(COUNTIF($A$2:A677,A677)&gt;1,"Duplicate","Unique")</f>
        <v>Unique</v>
      </c>
      <c r="R677" t="str">
        <f t="shared" si="60"/>
        <v>Valid</v>
      </c>
      <c r="S677" t="str">
        <f t="shared" si="61"/>
        <v>Valid</v>
      </c>
      <c r="T677" t="str">
        <f t="shared" si="62"/>
        <v>Valid</v>
      </c>
      <c r="U677" t="str">
        <f t="shared" si="63"/>
        <v>Valid</v>
      </c>
      <c r="V677" t="str">
        <f t="shared" si="64"/>
        <v>Valid</v>
      </c>
      <c r="W677" t="str">
        <f t="shared" si="65"/>
        <v>Outlier</v>
      </c>
    </row>
    <row r="678" spans="1:23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  <c r="Q678" t="str">
        <f>IF(COUNTIF($A$2:A678,A678)&gt;1,"Duplicate","Unique")</f>
        <v>Unique</v>
      </c>
      <c r="R678" t="str">
        <f t="shared" si="60"/>
        <v>Valid</v>
      </c>
      <c r="S678" t="str">
        <f t="shared" si="61"/>
        <v>Valid</v>
      </c>
      <c r="T678" t="str">
        <f t="shared" si="62"/>
        <v>Valid</v>
      </c>
      <c r="U678" t="str">
        <f t="shared" si="63"/>
        <v>Valid</v>
      </c>
      <c r="V678" t="str">
        <f t="shared" si="64"/>
        <v>Valid</v>
      </c>
      <c r="W678" t="str">
        <f t="shared" si="65"/>
        <v>Outlier</v>
      </c>
    </row>
    <row r="679" spans="1:23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  <c r="Q679" t="str">
        <f>IF(COUNTIF($A$2:A679,A679)&gt;1,"Duplicate","Unique")</f>
        <v>Unique</v>
      </c>
      <c r="R679" t="str">
        <f t="shared" si="60"/>
        <v>Valid</v>
      </c>
      <c r="S679" t="str">
        <f t="shared" si="61"/>
        <v>Valid</v>
      </c>
      <c r="T679" t="str">
        <f t="shared" si="62"/>
        <v>Valid</v>
      </c>
      <c r="U679" t="str">
        <f t="shared" si="63"/>
        <v>Valid</v>
      </c>
      <c r="V679" t="str">
        <f t="shared" si="64"/>
        <v>Valid</v>
      </c>
      <c r="W679" t="str">
        <f t="shared" si="65"/>
        <v>Outlier</v>
      </c>
    </row>
    <row r="680" spans="1:23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  <c r="Q680" t="str">
        <f>IF(COUNTIF($A$2:A680,A680)&gt;1,"Duplicate","Unique")</f>
        <v>Unique</v>
      </c>
      <c r="R680" t="str">
        <f t="shared" si="60"/>
        <v>Valid</v>
      </c>
      <c r="S680" t="str">
        <f t="shared" si="61"/>
        <v>Valid</v>
      </c>
      <c r="T680" t="str">
        <f t="shared" si="62"/>
        <v>Valid</v>
      </c>
      <c r="U680" t="str">
        <f t="shared" si="63"/>
        <v>Valid</v>
      </c>
      <c r="V680" t="str">
        <f t="shared" si="64"/>
        <v>Valid</v>
      </c>
      <c r="W680" t="str">
        <f t="shared" si="65"/>
        <v>Outlier</v>
      </c>
    </row>
    <row r="681" spans="1:23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  <c r="Q681" t="str">
        <f>IF(COUNTIF($A$2:A681,A681)&gt;1,"Duplicate","Unique")</f>
        <v>Unique</v>
      </c>
      <c r="R681" t="str">
        <f t="shared" si="60"/>
        <v>Valid</v>
      </c>
      <c r="S681" t="str">
        <f t="shared" si="61"/>
        <v>Valid</v>
      </c>
      <c r="T681" t="str">
        <f t="shared" si="62"/>
        <v>Valid</v>
      </c>
      <c r="U681" t="str">
        <f t="shared" si="63"/>
        <v>Valid</v>
      </c>
      <c r="V681" t="str">
        <f t="shared" si="64"/>
        <v>Valid</v>
      </c>
      <c r="W681" t="str">
        <f t="shared" si="65"/>
        <v>Outlier</v>
      </c>
    </row>
    <row r="682" spans="1:23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  <c r="Q682" t="str">
        <f>IF(COUNTIF($A$2:A682,A682)&gt;1,"Duplicate","Unique")</f>
        <v>Unique</v>
      </c>
      <c r="R682" t="str">
        <f t="shared" si="60"/>
        <v>Valid</v>
      </c>
      <c r="S682" t="str">
        <f t="shared" si="61"/>
        <v>Valid</v>
      </c>
      <c r="T682" t="str">
        <f t="shared" si="62"/>
        <v>Valid</v>
      </c>
      <c r="U682" t="str">
        <f t="shared" si="63"/>
        <v>Valid</v>
      </c>
      <c r="V682" t="str">
        <f t="shared" si="64"/>
        <v>Valid</v>
      </c>
      <c r="W682" t="str">
        <f t="shared" si="65"/>
        <v>Outlier</v>
      </c>
    </row>
    <row r="683" spans="1:23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  <c r="Q683" t="str">
        <f>IF(COUNTIF($A$2:A683,A683)&gt;1,"Duplicate","Unique")</f>
        <v>Unique</v>
      </c>
      <c r="R683" t="str">
        <f t="shared" si="60"/>
        <v>Valid</v>
      </c>
      <c r="S683" t="str">
        <f t="shared" si="61"/>
        <v>Valid</v>
      </c>
      <c r="T683" t="str">
        <f t="shared" si="62"/>
        <v>Valid</v>
      </c>
      <c r="U683" t="str">
        <f t="shared" si="63"/>
        <v>Valid</v>
      </c>
      <c r="V683" t="str">
        <f t="shared" si="64"/>
        <v>Valid</v>
      </c>
      <c r="W683" t="str">
        <f t="shared" si="65"/>
        <v>Outlier</v>
      </c>
    </row>
    <row r="684" spans="1:23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  <c r="Q684" t="str">
        <f>IF(COUNTIF($A$2:A684,A684)&gt;1,"Duplicate","Unique")</f>
        <v>Unique</v>
      </c>
      <c r="R684" t="str">
        <f t="shared" si="60"/>
        <v>Valid</v>
      </c>
      <c r="S684" t="str">
        <f t="shared" si="61"/>
        <v>Valid</v>
      </c>
      <c r="T684" t="str">
        <f t="shared" si="62"/>
        <v>Valid</v>
      </c>
      <c r="U684" t="str">
        <f t="shared" si="63"/>
        <v>Valid</v>
      </c>
      <c r="V684" t="str">
        <f t="shared" si="64"/>
        <v>Valid</v>
      </c>
      <c r="W684" t="str">
        <f t="shared" si="65"/>
        <v>Outlier</v>
      </c>
    </row>
    <row r="685" spans="1:23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  <c r="Q685" t="str">
        <f>IF(COUNTIF($A$2:A685,A685)&gt;1,"Duplicate","Unique")</f>
        <v>Unique</v>
      </c>
      <c r="R685" t="str">
        <f t="shared" si="60"/>
        <v>Valid</v>
      </c>
      <c r="S685" t="str">
        <f t="shared" si="61"/>
        <v>Valid</v>
      </c>
      <c r="T685" t="str">
        <f t="shared" si="62"/>
        <v>Valid</v>
      </c>
      <c r="U685" t="str">
        <f t="shared" si="63"/>
        <v>Valid</v>
      </c>
      <c r="V685" t="str">
        <f t="shared" si="64"/>
        <v>Valid</v>
      </c>
      <c r="W685" t="str">
        <f t="shared" si="65"/>
        <v>Outlier</v>
      </c>
    </row>
    <row r="686" spans="1:23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  <c r="Q686" t="str">
        <f>IF(COUNTIF($A$2:A686,A686)&gt;1,"Duplicate","Unique")</f>
        <v>Unique</v>
      </c>
      <c r="R686" t="str">
        <f t="shared" si="60"/>
        <v>Valid</v>
      </c>
      <c r="S686" t="str">
        <f t="shared" si="61"/>
        <v>Valid</v>
      </c>
      <c r="T686" t="str">
        <f t="shared" si="62"/>
        <v>Valid</v>
      </c>
      <c r="U686" t="str">
        <f t="shared" si="63"/>
        <v>Valid</v>
      </c>
      <c r="V686" t="str">
        <f t="shared" si="64"/>
        <v>Valid</v>
      </c>
      <c r="W686" t="str">
        <f t="shared" si="65"/>
        <v>Outlier</v>
      </c>
    </row>
    <row r="687" spans="1:23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  <c r="Q687" t="str">
        <f>IF(COUNTIF($A$2:A687,A687)&gt;1,"Duplicate","Unique")</f>
        <v>Unique</v>
      </c>
      <c r="R687" t="str">
        <f t="shared" si="60"/>
        <v>Valid</v>
      </c>
      <c r="S687" t="str">
        <f t="shared" si="61"/>
        <v>Valid</v>
      </c>
      <c r="T687" t="str">
        <f t="shared" si="62"/>
        <v>Valid</v>
      </c>
      <c r="U687" t="str">
        <f t="shared" si="63"/>
        <v>Valid</v>
      </c>
      <c r="V687" t="str">
        <f t="shared" si="64"/>
        <v>Valid</v>
      </c>
      <c r="W687" t="str">
        <f t="shared" si="65"/>
        <v>Outlier</v>
      </c>
    </row>
    <row r="688" spans="1:23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  <c r="Q688" t="str">
        <f>IF(COUNTIF($A$2:A688,A688)&gt;1,"Duplicate","Unique")</f>
        <v>Unique</v>
      </c>
      <c r="R688" t="str">
        <f t="shared" si="60"/>
        <v>Valid</v>
      </c>
      <c r="S688" t="str">
        <f t="shared" si="61"/>
        <v>Valid</v>
      </c>
      <c r="T688" t="str">
        <f t="shared" si="62"/>
        <v>Valid</v>
      </c>
      <c r="U688" t="str">
        <f t="shared" si="63"/>
        <v>Valid</v>
      </c>
      <c r="V688" t="str">
        <f t="shared" si="64"/>
        <v>Valid</v>
      </c>
      <c r="W688" t="str">
        <f t="shared" si="65"/>
        <v>Outlier</v>
      </c>
    </row>
    <row r="689" spans="1:23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  <c r="Q689" t="str">
        <f>IF(COUNTIF($A$2:A689,A689)&gt;1,"Duplicate","Unique")</f>
        <v>Unique</v>
      </c>
      <c r="R689" t="str">
        <f t="shared" si="60"/>
        <v>Valid</v>
      </c>
      <c r="S689" t="str">
        <f t="shared" si="61"/>
        <v>Valid</v>
      </c>
      <c r="T689" t="str">
        <f t="shared" si="62"/>
        <v>Valid</v>
      </c>
      <c r="U689" t="str">
        <f t="shared" si="63"/>
        <v>Valid</v>
      </c>
      <c r="V689" t="str">
        <f t="shared" si="64"/>
        <v>Valid</v>
      </c>
      <c r="W689" t="str">
        <f t="shared" si="65"/>
        <v>Outlier</v>
      </c>
    </row>
    <row r="690" spans="1:23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  <c r="Q690" t="str">
        <f>IF(COUNTIF($A$2:A690,A690)&gt;1,"Duplicate","Unique")</f>
        <v>Unique</v>
      </c>
      <c r="R690" t="str">
        <f t="shared" si="60"/>
        <v>Valid</v>
      </c>
      <c r="S690" t="str">
        <f t="shared" si="61"/>
        <v>Valid</v>
      </c>
      <c r="T690" t="str">
        <f t="shared" si="62"/>
        <v>Valid</v>
      </c>
      <c r="U690" t="str">
        <f t="shared" si="63"/>
        <v>Valid</v>
      </c>
      <c r="V690" t="str">
        <f t="shared" si="64"/>
        <v>Valid</v>
      </c>
      <c r="W690" t="str">
        <f t="shared" si="65"/>
        <v>Outlier</v>
      </c>
    </row>
    <row r="691" spans="1:23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  <c r="Q691" t="str">
        <f>IF(COUNTIF($A$2:A691,A691)&gt;1,"Duplicate","Unique")</f>
        <v>Unique</v>
      </c>
      <c r="R691" t="str">
        <f t="shared" si="60"/>
        <v>Valid</v>
      </c>
      <c r="S691" t="str">
        <f t="shared" si="61"/>
        <v>Valid</v>
      </c>
      <c r="T691" t="str">
        <f t="shared" si="62"/>
        <v>Valid</v>
      </c>
      <c r="U691" t="str">
        <f t="shared" si="63"/>
        <v>Valid</v>
      </c>
      <c r="V691" t="str">
        <f t="shared" si="64"/>
        <v>Valid</v>
      </c>
      <c r="W691" t="str">
        <f t="shared" si="65"/>
        <v>Outlier</v>
      </c>
    </row>
    <row r="692" spans="1:23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  <c r="Q692" t="str">
        <f>IF(COUNTIF($A$2:A692,A692)&gt;1,"Duplicate","Unique")</f>
        <v>Unique</v>
      </c>
      <c r="R692" t="str">
        <f t="shared" si="60"/>
        <v>Valid</v>
      </c>
      <c r="S692" t="str">
        <f t="shared" si="61"/>
        <v>Valid</v>
      </c>
      <c r="T692" t="str">
        <f t="shared" si="62"/>
        <v>Valid</v>
      </c>
      <c r="U692" t="str">
        <f t="shared" si="63"/>
        <v>Valid</v>
      </c>
      <c r="V692" t="str">
        <f t="shared" si="64"/>
        <v>Valid</v>
      </c>
      <c r="W692" t="str">
        <f t="shared" si="65"/>
        <v>Outlier</v>
      </c>
    </row>
    <row r="693" spans="1:23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  <c r="Q693" t="str">
        <f>IF(COUNTIF($A$2:A693,A693)&gt;1,"Duplicate","Unique")</f>
        <v>Unique</v>
      </c>
      <c r="R693" t="str">
        <f t="shared" si="60"/>
        <v>Valid</v>
      </c>
      <c r="S693" t="str">
        <f t="shared" si="61"/>
        <v>Valid</v>
      </c>
      <c r="T693" t="str">
        <f t="shared" si="62"/>
        <v>Valid</v>
      </c>
      <c r="U693" t="str">
        <f t="shared" si="63"/>
        <v>Valid</v>
      </c>
      <c r="V693" t="str">
        <f t="shared" si="64"/>
        <v>Valid</v>
      </c>
      <c r="W693" t="str">
        <f t="shared" si="65"/>
        <v>Outlier</v>
      </c>
    </row>
    <row r="694" spans="1:23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  <c r="Q694" t="str">
        <f>IF(COUNTIF($A$2:A694,A694)&gt;1,"Duplicate","Unique")</f>
        <v>Unique</v>
      </c>
      <c r="R694" t="str">
        <f t="shared" si="60"/>
        <v>Valid</v>
      </c>
      <c r="S694" t="str">
        <f t="shared" si="61"/>
        <v>Valid</v>
      </c>
      <c r="T694" t="str">
        <f t="shared" si="62"/>
        <v>Valid</v>
      </c>
      <c r="U694" t="str">
        <f t="shared" si="63"/>
        <v>Valid</v>
      </c>
      <c r="V694" t="str">
        <f t="shared" si="64"/>
        <v>Valid</v>
      </c>
      <c r="W694" t="str">
        <f t="shared" si="65"/>
        <v>Outlier</v>
      </c>
    </row>
    <row r="695" spans="1:23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Q695" t="str">
        <f>IF(COUNTIF($A$2:A695,A695)&gt;1,"Duplicate","Unique")</f>
        <v>Unique</v>
      </c>
      <c r="R695" t="str">
        <f t="shared" si="60"/>
        <v>Valid</v>
      </c>
      <c r="S695" t="str">
        <f t="shared" si="61"/>
        <v>Valid</v>
      </c>
      <c r="T695" t="str">
        <f t="shared" si="62"/>
        <v>Valid</v>
      </c>
      <c r="U695" t="str">
        <f t="shared" si="63"/>
        <v>Valid</v>
      </c>
      <c r="V695" t="str">
        <f t="shared" si="64"/>
        <v>Valid</v>
      </c>
      <c r="W695" t="str">
        <f t="shared" si="65"/>
        <v>Outlier</v>
      </c>
    </row>
    <row r="696" spans="1:23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  <c r="Q696" t="str">
        <f>IF(COUNTIF($A$2:A696,A696)&gt;1,"Duplicate","Unique")</f>
        <v>Unique</v>
      </c>
      <c r="R696" t="str">
        <f t="shared" si="60"/>
        <v>Valid</v>
      </c>
      <c r="S696" t="str">
        <f t="shared" si="61"/>
        <v>Valid</v>
      </c>
      <c r="T696" t="str">
        <f t="shared" si="62"/>
        <v>Valid</v>
      </c>
      <c r="U696" t="str">
        <f t="shared" si="63"/>
        <v>Valid</v>
      </c>
      <c r="V696" t="str">
        <f t="shared" si="64"/>
        <v>Valid</v>
      </c>
      <c r="W696" t="str">
        <f t="shared" si="65"/>
        <v>Outlier</v>
      </c>
    </row>
    <row r="697" spans="1:23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  <c r="Q697" t="str">
        <f>IF(COUNTIF($A$2:A697,A697)&gt;1,"Duplicate","Unique")</f>
        <v>Unique</v>
      </c>
      <c r="R697" t="str">
        <f t="shared" si="60"/>
        <v>Valid</v>
      </c>
      <c r="S697" t="str">
        <f t="shared" si="61"/>
        <v>Valid</v>
      </c>
      <c r="T697" t="str">
        <f t="shared" si="62"/>
        <v>Valid</v>
      </c>
      <c r="U697" t="str">
        <f t="shared" si="63"/>
        <v>Valid</v>
      </c>
      <c r="V697" t="str">
        <f t="shared" si="64"/>
        <v>Valid</v>
      </c>
      <c r="W697" t="str">
        <f t="shared" si="65"/>
        <v>Outlier</v>
      </c>
    </row>
    <row r="698" spans="1:23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  <c r="Q698" t="str">
        <f>IF(COUNTIF($A$2:A698,A698)&gt;1,"Duplicate","Unique")</f>
        <v>Unique</v>
      </c>
      <c r="R698" t="str">
        <f t="shared" si="60"/>
        <v>Valid</v>
      </c>
      <c r="S698" t="str">
        <f t="shared" si="61"/>
        <v>Valid</v>
      </c>
      <c r="T698" t="str">
        <f t="shared" si="62"/>
        <v>Valid</v>
      </c>
      <c r="U698" t="str">
        <f t="shared" si="63"/>
        <v>Valid</v>
      </c>
      <c r="V698" t="str">
        <f t="shared" si="64"/>
        <v>Valid</v>
      </c>
      <c r="W698" t="str">
        <f t="shared" si="65"/>
        <v>Outlier</v>
      </c>
    </row>
    <row r="699" spans="1:23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  <c r="Q699" t="str">
        <f>IF(COUNTIF($A$2:A699,A699)&gt;1,"Duplicate","Unique")</f>
        <v>Unique</v>
      </c>
      <c r="R699" t="str">
        <f t="shared" si="60"/>
        <v>Valid</v>
      </c>
      <c r="S699" t="str">
        <f t="shared" si="61"/>
        <v>Valid</v>
      </c>
      <c r="T699" t="str">
        <f t="shared" si="62"/>
        <v>Valid</v>
      </c>
      <c r="U699" t="str">
        <f t="shared" si="63"/>
        <v>Valid</v>
      </c>
      <c r="V699" t="str">
        <f t="shared" si="64"/>
        <v>Valid</v>
      </c>
      <c r="W699" t="str">
        <f t="shared" si="65"/>
        <v>Outlier</v>
      </c>
    </row>
    <row r="700" spans="1:23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  <c r="Q700" t="str">
        <f>IF(COUNTIF($A$2:A700,A700)&gt;1,"Duplicate","Unique")</f>
        <v>Unique</v>
      </c>
      <c r="R700" t="str">
        <f t="shared" si="60"/>
        <v>Valid</v>
      </c>
      <c r="S700" t="str">
        <f t="shared" si="61"/>
        <v>Valid</v>
      </c>
      <c r="T700" t="str">
        <f t="shared" si="62"/>
        <v>Valid</v>
      </c>
      <c r="U700" t="str">
        <f t="shared" si="63"/>
        <v>Valid</v>
      </c>
      <c r="V700" t="str">
        <f t="shared" si="64"/>
        <v>Valid</v>
      </c>
      <c r="W700" t="str">
        <f t="shared" si="65"/>
        <v>Outlier</v>
      </c>
    </row>
    <row r="701" spans="1:23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  <c r="Q701" t="str">
        <f>IF(COUNTIF($A$2:A701,A701)&gt;1,"Duplicate","Unique")</f>
        <v>Unique</v>
      </c>
      <c r="R701" t="str">
        <f t="shared" si="60"/>
        <v>Valid</v>
      </c>
      <c r="S701" t="str">
        <f t="shared" si="61"/>
        <v>Valid</v>
      </c>
      <c r="T701" t="str">
        <f t="shared" si="62"/>
        <v>Valid</v>
      </c>
      <c r="U701" t="str">
        <f t="shared" si="63"/>
        <v>Valid</v>
      </c>
      <c r="V701" t="str">
        <f t="shared" si="64"/>
        <v>Valid</v>
      </c>
      <c r="W701" t="str">
        <f t="shared" si="65"/>
        <v>Outlier</v>
      </c>
    </row>
    <row r="702" spans="1:23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  <c r="Q702" t="str">
        <f>IF(COUNTIF($A$2:A702,A702)&gt;1,"Duplicate","Unique")</f>
        <v>Unique</v>
      </c>
      <c r="R702" t="str">
        <f t="shared" si="60"/>
        <v>Valid</v>
      </c>
      <c r="S702" t="str">
        <f t="shared" si="61"/>
        <v>Valid</v>
      </c>
      <c r="T702" t="str">
        <f t="shared" si="62"/>
        <v>Valid</v>
      </c>
      <c r="U702" t="str">
        <f t="shared" si="63"/>
        <v>Valid</v>
      </c>
      <c r="V702" t="str">
        <f t="shared" si="64"/>
        <v>Valid</v>
      </c>
      <c r="W702" t="str">
        <f t="shared" si="65"/>
        <v>Outlier</v>
      </c>
    </row>
    <row r="703" spans="1:23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  <c r="Q703" t="str">
        <f>IF(COUNTIF($A$2:A703,A703)&gt;1,"Duplicate","Unique")</f>
        <v>Unique</v>
      </c>
      <c r="R703" t="str">
        <f t="shared" si="60"/>
        <v>Valid</v>
      </c>
      <c r="S703" t="str">
        <f t="shared" si="61"/>
        <v>Valid</v>
      </c>
      <c r="T703" t="str">
        <f t="shared" si="62"/>
        <v>Valid</v>
      </c>
      <c r="U703" t="str">
        <f t="shared" si="63"/>
        <v>Valid</v>
      </c>
      <c r="V703" t="str">
        <f t="shared" si="64"/>
        <v>Valid</v>
      </c>
      <c r="W703" t="str">
        <f t="shared" si="65"/>
        <v>Outlier</v>
      </c>
    </row>
    <row r="704" spans="1:23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  <c r="Q704" t="str">
        <f>IF(COUNTIF($A$2:A704,A704)&gt;1,"Duplicate","Unique")</f>
        <v>Unique</v>
      </c>
      <c r="R704" t="str">
        <f t="shared" si="60"/>
        <v>Valid</v>
      </c>
      <c r="S704" t="str">
        <f t="shared" si="61"/>
        <v>Valid</v>
      </c>
      <c r="T704" t="str">
        <f t="shared" si="62"/>
        <v>Valid</v>
      </c>
      <c r="U704" t="str">
        <f t="shared" si="63"/>
        <v>Valid</v>
      </c>
      <c r="V704" t="str">
        <f t="shared" si="64"/>
        <v>Valid</v>
      </c>
      <c r="W704" t="str">
        <f t="shared" si="65"/>
        <v>Outlier</v>
      </c>
    </row>
    <row r="705" spans="1:23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  <c r="Q705" t="str">
        <f>IF(COUNTIF($A$2:A705,A705)&gt;1,"Duplicate","Unique")</f>
        <v>Unique</v>
      </c>
      <c r="R705" t="str">
        <f t="shared" si="60"/>
        <v>Valid</v>
      </c>
      <c r="S705" t="str">
        <f t="shared" si="61"/>
        <v>Valid</v>
      </c>
      <c r="T705" t="str">
        <f t="shared" si="62"/>
        <v>Valid</v>
      </c>
      <c r="U705" t="str">
        <f t="shared" si="63"/>
        <v>Valid</v>
      </c>
      <c r="V705" t="str">
        <f t="shared" si="64"/>
        <v>Valid</v>
      </c>
      <c r="W705" t="str">
        <f t="shared" si="65"/>
        <v>Outlier</v>
      </c>
    </row>
    <row r="706" spans="1:23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  <c r="Q706" t="str">
        <f>IF(COUNTIF($A$2:A706,A706)&gt;1,"Duplicate","Unique")</f>
        <v>Unique</v>
      </c>
      <c r="R706" t="str">
        <f t="shared" si="60"/>
        <v>Valid</v>
      </c>
      <c r="S706" t="str">
        <f t="shared" si="61"/>
        <v>Valid</v>
      </c>
      <c r="T706" t="str">
        <f t="shared" si="62"/>
        <v>Valid</v>
      </c>
      <c r="U706" t="str">
        <f t="shared" si="63"/>
        <v>Valid</v>
      </c>
      <c r="V706" t="str">
        <f t="shared" si="64"/>
        <v>Valid</v>
      </c>
      <c r="W706" t="str">
        <f t="shared" si="65"/>
        <v>Outlier</v>
      </c>
    </row>
    <row r="707" spans="1:23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  <c r="Q707" t="str">
        <f>IF(COUNTIF($A$2:A707,A707)&gt;1,"Duplicate","Unique")</f>
        <v>Unique</v>
      </c>
      <c r="R707" t="str">
        <f t="shared" ref="R707:R770" si="66">IF(OR(H707=0,H707=1),"Valid","Invalid")</f>
        <v>Valid</v>
      </c>
      <c r="S707" t="str">
        <f t="shared" ref="S707:S770" si="67">IF(OR(I707=0,I707=1),"Valid","Invalid")</f>
        <v>Valid</v>
      </c>
      <c r="T707" t="str">
        <f t="shared" ref="T707:T770" si="68">IF(OR(J707=0,J707=1),"Valid","Invalid")</f>
        <v>Valid</v>
      </c>
      <c r="U707" t="str">
        <f t="shared" ref="U707:U770" si="69">IF(OR(K707=0,K707=1),"Valid","Invalid")</f>
        <v>Valid</v>
      </c>
      <c r="V707" t="str">
        <f t="shared" ref="V707:V770" si="70">IF(OR(N707=0,N707=1),"Valid","Invalid")</f>
        <v>Valid</v>
      </c>
      <c r="W707" t="str">
        <f t="shared" ref="W707:W770" si="71">IF(OR(L707&lt;$B$23,L707&gt;$B$24),"Outlier","Normal")</f>
        <v>Outlier</v>
      </c>
    </row>
    <row r="708" spans="1:23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Q708" t="str">
        <f>IF(COUNTIF($A$2:A708,A708)&gt;1,"Duplicate","Unique")</f>
        <v>Unique</v>
      </c>
      <c r="R708" t="str">
        <f t="shared" si="66"/>
        <v>Valid</v>
      </c>
      <c r="S708" t="str">
        <f t="shared" si="67"/>
        <v>Valid</v>
      </c>
      <c r="T708" t="str">
        <f t="shared" si="68"/>
        <v>Valid</v>
      </c>
      <c r="U708" t="str">
        <f t="shared" si="69"/>
        <v>Valid</v>
      </c>
      <c r="V708" t="str">
        <f t="shared" si="70"/>
        <v>Valid</v>
      </c>
      <c r="W708" t="str">
        <f t="shared" si="71"/>
        <v>Outlier</v>
      </c>
    </row>
    <row r="709" spans="1:23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  <c r="Q709" t="str">
        <f>IF(COUNTIF($A$2:A709,A709)&gt;1,"Duplicate","Unique")</f>
        <v>Unique</v>
      </c>
      <c r="R709" t="str">
        <f t="shared" si="66"/>
        <v>Valid</v>
      </c>
      <c r="S709" t="str">
        <f t="shared" si="67"/>
        <v>Valid</v>
      </c>
      <c r="T709" t="str">
        <f t="shared" si="68"/>
        <v>Valid</v>
      </c>
      <c r="U709" t="str">
        <f t="shared" si="69"/>
        <v>Valid</v>
      </c>
      <c r="V709" t="str">
        <f t="shared" si="70"/>
        <v>Valid</v>
      </c>
      <c r="W709" t="str">
        <f t="shared" si="71"/>
        <v>Outlier</v>
      </c>
    </row>
    <row r="710" spans="1:23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  <c r="Q710" t="str">
        <f>IF(COUNTIF($A$2:A710,A710)&gt;1,"Duplicate","Unique")</f>
        <v>Unique</v>
      </c>
      <c r="R710" t="str">
        <f t="shared" si="66"/>
        <v>Valid</v>
      </c>
      <c r="S710" t="str">
        <f t="shared" si="67"/>
        <v>Valid</v>
      </c>
      <c r="T710" t="str">
        <f t="shared" si="68"/>
        <v>Valid</v>
      </c>
      <c r="U710" t="str">
        <f t="shared" si="69"/>
        <v>Valid</v>
      </c>
      <c r="V710" t="str">
        <f t="shared" si="70"/>
        <v>Valid</v>
      </c>
      <c r="W710" t="str">
        <f t="shared" si="71"/>
        <v>Outlier</v>
      </c>
    </row>
    <row r="711" spans="1:23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  <c r="Q711" t="str">
        <f>IF(COUNTIF($A$2:A711,A711)&gt;1,"Duplicate","Unique")</f>
        <v>Unique</v>
      </c>
      <c r="R711" t="str">
        <f t="shared" si="66"/>
        <v>Valid</v>
      </c>
      <c r="S711" t="str">
        <f t="shared" si="67"/>
        <v>Valid</v>
      </c>
      <c r="T711" t="str">
        <f t="shared" si="68"/>
        <v>Valid</v>
      </c>
      <c r="U711" t="str">
        <f t="shared" si="69"/>
        <v>Valid</v>
      </c>
      <c r="V711" t="str">
        <f t="shared" si="70"/>
        <v>Valid</v>
      </c>
      <c r="W711" t="str">
        <f t="shared" si="71"/>
        <v>Outlier</v>
      </c>
    </row>
    <row r="712" spans="1:23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  <c r="Q712" t="str">
        <f>IF(COUNTIF($A$2:A712,A712)&gt;1,"Duplicate","Unique")</f>
        <v>Unique</v>
      </c>
      <c r="R712" t="str">
        <f t="shared" si="66"/>
        <v>Valid</v>
      </c>
      <c r="S712" t="str">
        <f t="shared" si="67"/>
        <v>Valid</v>
      </c>
      <c r="T712" t="str">
        <f t="shared" si="68"/>
        <v>Valid</v>
      </c>
      <c r="U712" t="str">
        <f t="shared" si="69"/>
        <v>Valid</v>
      </c>
      <c r="V712" t="str">
        <f t="shared" si="70"/>
        <v>Valid</v>
      </c>
      <c r="W712" t="str">
        <f t="shared" si="71"/>
        <v>Outlier</v>
      </c>
    </row>
    <row r="713" spans="1:23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  <c r="Q713" t="str">
        <f>IF(COUNTIF($A$2:A713,A713)&gt;1,"Duplicate","Unique")</f>
        <v>Unique</v>
      </c>
      <c r="R713" t="str">
        <f t="shared" si="66"/>
        <v>Valid</v>
      </c>
      <c r="S713" t="str">
        <f t="shared" si="67"/>
        <v>Valid</v>
      </c>
      <c r="T713" t="str">
        <f t="shared" si="68"/>
        <v>Valid</v>
      </c>
      <c r="U713" t="str">
        <f t="shared" si="69"/>
        <v>Valid</v>
      </c>
      <c r="V713" t="str">
        <f t="shared" si="70"/>
        <v>Valid</v>
      </c>
      <c r="W713" t="str">
        <f t="shared" si="71"/>
        <v>Outlier</v>
      </c>
    </row>
    <row r="714" spans="1:23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  <c r="Q714" t="str">
        <f>IF(COUNTIF($A$2:A714,A714)&gt;1,"Duplicate","Unique")</f>
        <v>Unique</v>
      </c>
      <c r="R714" t="str">
        <f t="shared" si="66"/>
        <v>Valid</v>
      </c>
      <c r="S714" t="str">
        <f t="shared" si="67"/>
        <v>Valid</v>
      </c>
      <c r="T714" t="str">
        <f t="shared" si="68"/>
        <v>Valid</v>
      </c>
      <c r="U714" t="str">
        <f t="shared" si="69"/>
        <v>Valid</v>
      </c>
      <c r="V714" t="str">
        <f t="shared" si="70"/>
        <v>Valid</v>
      </c>
      <c r="W714" t="str">
        <f t="shared" si="71"/>
        <v>Outlier</v>
      </c>
    </row>
    <row r="715" spans="1:23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  <c r="Q715" t="str">
        <f>IF(COUNTIF($A$2:A715,A715)&gt;1,"Duplicate","Unique")</f>
        <v>Unique</v>
      </c>
      <c r="R715" t="str">
        <f t="shared" si="66"/>
        <v>Valid</v>
      </c>
      <c r="S715" t="str">
        <f t="shared" si="67"/>
        <v>Valid</v>
      </c>
      <c r="T715" t="str">
        <f t="shared" si="68"/>
        <v>Valid</v>
      </c>
      <c r="U715" t="str">
        <f t="shared" si="69"/>
        <v>Valid</v>
      </c>
      <c r="V715" t="str">
        <f t="shared" si="70"/>
        <v>Valid</v>
      </c>
      <c r="W715" t="str">
        <f t="shared" si="71"/>
        <v>Outlier</v>
      </c>
    </row>
    <row r="716" spans="1:23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  <c r="Q716" t="str">
        <f>IF(COUNTIF($A$2:A716,A716)&gt;1,"Duplicate","Unique")</f>
        <v>Unique</v>
      </c>
      <c r="R716" t="str">
        <f t="shared" si="66"/>
        <v>Valid</v>
      </c>
      <c r="S716" t="str">
        <f t="shared" si="67"/>
        <v>Valid</v>
      </c>
      <c r="T716" t="str">
        <f t="shared" si="68"/>
        <v>Valid</v>
      </c>
      <c r="U716" t="str">
        <f t="shared" si="69"/>
        <v>Valid</v>
      </c>
      <c r="V716" t="str">
        <f t="shared" si="70"/>
        <v>Valid</v>
      </c>
      <c r="W716" t="str">
        <f t="shared" si="71"/>
        <v>Outlier</v>
      </c>
    </row>
    <row r="717" spans="1:23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  <c r="Q717" t="str">
        <f>IF(COUNTIF($A$2:A717,A717)&gt;1,"Duplicate","Unique")</f>
        <v>Unique</v>
      </c>
      <c r="R717" t="str">
        <f t="shared" si="66"/>
        <v>Valid</v>
      </c>
      <c r="S717" t="str">
        <f t="shared" si="67"/>
        <v>Valid</v>
      </c>
      <c r="T717" t="str">
        <f t="shared" si="68"/>
        <v>Valid</v>
      </c>
      <c r="U717" t="str">
        <f t="shared" si="69"/>
        <v>Valid</v>
      </c>
      <c r="V717" t="str">
        <f t="shared" si="70"/>
        <v>Valid</v>
      </c>
      <c r="W717" t="str">
        <f t="shared" si="71"/>
        <v>Outlier</v>
      </c>
    </row>
    <row r="718" spans="1:23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  <c r="Q718" t="str">
        <f>IF(COUNTIF($A$2:A718,A718)&gt;1,"Duplicate","Unique")</f>
        <v>Unique</v>
      </c>
      <c r="R718" t="str">
        <f t="shared" si="66"/>
        <v>Valid</v>
      </c>
      <c r="S718" t="str">
        <f t="shared" si="67"/>
        <v>Valid</v>
      </c>
      <c r="T718" t="str">
        <f t="shared" si="68"/>
        <v>Valid</v>
      </c>
      <c r="U718" t="str">
        <f t="shared" si="69"/>
        <v>Valid</v>
      </c>
      <c r="V718" t="str">
        <f t="shared" si="70"/>
        <v>Valid</v>
      </c>
      <c r="W718" t="str">
        <f t="shared" si="71"/>
        <v>Outlier</v>
      </c>
    </row>
    <row r="719" spans="1:23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  <c r="Q719" t="str">
        <f>IF(COUNTIF($A$2:A719,A719)&gt;1,"Duplicate","Unique")</f>
        <v>Unique</v>
      </c>
      <c r="R719" t="str">
        <f t="shared" si="66"/>
        <v>Valid</v>
      </c>
      <c r="S719" t="str">
        <f t="shared" si="67"/>
        <v>Valid</v>
      </c>
      <c r="T719" t="str">
        <f t="shared" si="68"/>
        <v>Valid</v>
      </c>
      <c r="U719" t="str">
        <f t="shared" si="69"/>
        <v>Valid</v>
      </c>
      <c r="V719" t="str">
        <f t="shared" si="70"/>
        <v>Valid</v>
      </c>
      <c r="W719" t="str">
        <f t="shared" si="71"/>
        <v>Outlier</v>
      </c>
    </row>
    <row r="720" spans="1:23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  <c r="Q720" t="str">
        <f>IF(COUNTIF($A$2:A720,A720)&gt;1,"Duplicate","Unique")</f>
        <v>Unique</v>
      </c>
      <c r="R720" t="str">
        <f t="shared" si="66"/>
        <v>Valid</v>
      </c>
      <c r="S720" t="str">
        <f t="shared" si="67"/>
        <v>Valid</v>
      </c>
      <c r="T720" t="str">
        <f t="shared" si="68"/>
        <v>Valid</v>
      </c>
      <c r="U720" t="str">
        <f t="shared" si="69"/>
        <v>Valid</v>
      </c>
      <c r="V720" t="str">
        <f t="shared" si="70"/>
        <v>Valid</v>
      </c>
      <c r="W720" t="str">
        <f t="shared" si="71"/>
        <v>Outlier</v>
      </c>
    </row>
    <row r="721" spans="1:23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  <c r="Q721" t="str">
        <f>IF(COUNTIF($A$2:A721,A721)&gt;1,"Duplicate","Unique")</f>
        <v>Unique</v>
      </c>
      <c r="R721" t="str">
        <f t="shared" si="66"/>
        <v>Valid</v>
      </c>
      <c r="S721" t="str">
        <f t="shared" si="67"/>
        <v>Valid</v>
      </c>
      <c r="T721" t="str">
        <f t="shared" si="68"/>
        <v>Valid</v>
      </c>
      <c r="U721" t="str">
        <f t="shared" si="69"/>
        <v>Valid</v>
      </c>
      <c r="V721" t="str">
        <f t="shared" si="70"/>
        <v>Valid</v>
      </c>
      <c r="W721" t="str">
        <f t="shared" si="71"/>
        <v>Outlier</v>
      </c>
    </row>
    <row r="722" spans="1:23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  <c r="Q722" t="str">
        <f>IF(COUNTIF($A$2:A722,A722)&gt;1,"Duplicate","Unique")</f>
        <v>Unique</v>
      </c>
      <c r="R722" t="str">
        <f t="shared" si="66"/>
        <v>Valid</v>
      </c>
      <c r="S722" t="str">
        <f t="shared" si="67"/>
        <v>Valid</v>
      </c>
      <c r="T722" t="str">
        <f t="shared" si="68"/>
        <v>Valid</v>
      </c>
      <c r="U722" t="str">
        <f t="shared" si="69"/>
        <v>Valid</v>
      </c>
      <c r="V722" t="str">
        <f t="shared" si="70"/>
        <v>Valid</v>
      </c>
      <c r="W722" t="str">
        <f t="shared" si="71"/>
        <v>Outlier</v>
      </c>
    </row>
    <row r="723" spans="1:23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  <c r="Q723" t="str">
        <f>IF(COUNTIF($A$2:A723,A723)&gt;1,"Duplicate","Unique")</f>
        <v>Unique</v>
      </c>
      <c r="R723" t="str">
        <f t="shared" si="66"/>
        <v>Valid</v>
      </c>
      <c r="S723" t="str">
        <f t="shared" si="67"/>
        <v>Valid</v>
      </c>
      <c r="T723" t="str">
        <f t="shared" si="68"/>
        <v>Valid</v>
      </c>
      <c r="U723" t="str">
        <f t="shared" si="69"/>
        <v>Valid</v>
      </c>
      <c r="V723" t="str">
        <f t="shared" si="70"/>
        <v>Valid</v>
      </c>
      <c r="W723" t="str">
        <f t="shared" si="71"/>
        <v>Outlier</v>
      </c>
    </row>
    <row r="724" spans="1:23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  <c r="Q724" t="str">
        <f>IF(COUNTIF($A$2:A724,A724)&gt;1,"Duplicate","Unique")</f>
        <v>Unique</v>
      </c>
      <c r="R724" t="str">
        <f t="shared" si="66"/>
        <v>Valid</v>
      </c>
      <c r="S724" t="str">
        <f t="shared" si="67"/>
        <v>Valid</v>
      </c>
      <c r="T724" t="str">
        <f t="shared" si="68"/>
        <v>Valid</v>
      </c>
      <c r="U724" t="str">
        <f t="shared" si="69"/>
        <v>Valid</v>
      </c>
      <c r="V724" t="str">
        <f t="shared" si="70"/>
        <v>Valid</v>
      </c>
      <c r="W724" t="str">
        <f t="shared" si="71"/>
        <v>Outlier</v>
      </c>
    </row>
    <row r="725" spans="1:23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  <c r="Q725" t="str">
        <f>IF(COUNTIF($A$2:A725,A725)&gt;1,"Duplicate","Unique")</f>
        <v>Unique</v>
      </c>
      <c r="R725" t="str">
        <f t="shared" si="66"/>
        <v>Valid</v>
      </c>
      <c r="S725" t="str">
        <f t="shared" si="67"/>
        <v>Valid</v>
      </c>
      <c r="T725" t="str">
        <f t="shared" si="68"/>
        <v>Valid</v>
      </c>
      <c r="U725" t="str">
        <f t="shared" si="69"/>
        <v>Valid</v>
      </c>
      <c r="V725" t="str">
        <f t="shared" si="70"/>
        <v>Valid</v>
      </c>
      <c r="W725" t="str">
        <f t="shared" si="71"/>
        <v>Outlier</v>
      </c>
    </row>
    <row r="726" spans="1:23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  <c r="Q726" t="str">
        <f>IF(COUNTIF($A$2:A726,A726)&gt;1,"Duplicate","Unique")</f>
        <v>Unique</v>
      </c>
      <c r="R726" t="str">
        <f t="shared" si="66"/>
        <v>Valid</v>
      </c>
      <c r="S726" t="str">
        <f t="shared" si="67"/>
        <v>Valid</v>
      </c>
      <c r="T726" t="str">
        <f t="shared" si="68"/>
        <v>Valid</v>
      </c>
      <c r="U726" t="str">
        <f t="shared" si="69"/>
        <v>Valid</v>
      </c>
      <c r="V726" t="str">
        <f t="shared" si="70"/>
        <v>Valid</v>
      </c>
      <c r="W726" t="str">
        <f t="shared" si="71"/>
        <v>Outlier</v>
      </c>
    </row>
    <row r="727" spans="1:23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  <c r="Q727" t="str">
        <f>IF(COUNTIF($A$2:A727,A727)&gt;1,"Duplicate","Unique")</f>
        <v>Unique</v>
      </c>
      <c r="R727" t="str">
        <f t="shared" si="66"/>
        <v>Valid</v>
      </c>
      <c r="S727" t="str">
        <f t="shared" si="67"/>
        <v>Valid</v>
      </c>
      <c r="T727" t="str">
        <f t="shared" si="68"/>
        <v>Valid</v>
      </c>
      <c r="U727" t="str">
        <f t="shared" si="69"/>
        <v>Valid</v>
      </c>
      <c r="V727" t="str">
        <f t="shared" si="70"/>
        <v>Valid</v>
      </c>
      <c r="W727" t="str">
        <f t="shared" si="71"/>
        <v>Outlier</v>
      </c>
    </row>
    <row r="728" spans="1:23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  <c r="Q728" t="str">
        <f>IF(COUNTIF($A$2:A728,A728)&gt;1,"Duplicate","Unique")</f>
        <v>Unique</v>
      </c>
      <c r="R728" t="str">
        <f t="shared" si="66"/>
        <v>Valid</v>
      </c>
      <c r="S728" t="str">
        <f t="shared" si="67"/>
        <v>Valid</v>
      </c>
      <c r="T728" t="str">
        <f t="shared" si="68"/>
        <v>Valid</v>
      </c>
      <c r="U728" t="str">
        <f t="shared" si="69"/>
        <v>Valid</v>
      </c>
      <c r="V728" t="str">
        <f t="shared" si="70"/>
        <v>Valid</v>
      </c>
      <c r="W728" t="str">
        <f t="shared" si="71"/>
        <v>Outlier</v>
      </c>
    </row>
    <row r="729" spans="1:23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  <c r="Q729" t="str">
        <f>IF(COUNTIF($A$2:A729,A729)&gt;1,"Duplicate","Unique")</f>
        <v>Unique</v>
      </c>
      <c r="R729" t="str">
        <f t="shared" si="66"/>
        <v>Valid</v>
      </c>
      <c r="S729" t="str">
        <f t="shared" si="67"/>
        <v>Valid</v>
      </c>
      <c r="T729" t="str">
        <f t="shared" si="68"/>
        <v>Valid</v>
      </c>
      <c r="U729" t="str">
        <f t="shared" si="69"/>
        <v>Valid</v>
      </c>
      <c r="V729" t="str">
        <f t="shared" si="70"/>
        <v>Valid</v>
      </c>
      <c r="W729" t="str">
        <f t="shared" si="71"/>
        <v>Outlier</v>
      </c>
    </row>
    <row r="730" spans="1:23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  <c r="Q730" t="str">
        <f>IF(COUNTIF($A$2:A730,A730)&gt;1,"Duplicate","Unique")</f>
        <v>Unique</v>
      </c>
      <c r="R730" t="str">
        <f t="shared" si="66"/>
        <v>Valid</v>
      </c>
      <c r="S730" t="str">
        <f t="shared" si="67"/>
        <v>Valid</v>
      </c>
      <c r="T730" t="str">
        <f t="shared" si="68"/>
        <v>Valid</v>
      </c>
      <c r="U730" t="str">
        <f t="shared" si="69"/>
        <v>Valid</v>
      </c>
      <c r="V730" t="str">
        <f t="shared" si="70"/>
        <v>Valid</v>
      </c>
      <c r="W730" t="str">
        <f t="shared" si="71"/>
        <v>Outlier</v>
      </c>
    </row>
    <row r="731" spans="1:23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  <c r="Q731" t="str">
        <f>IF(COUNTIF($A$2:A731,A731)&gt;1,"Duplicate","Unique")</f>
        <v>Unique</v>
      </c>
      <c r="R731" t="str">
        <f t="shared" si="66"/>
        <v>Valid</v>
      </c>
      <c r="S731" t="str">
        <f t="shared" si="67"/>
        <v>Valid</v>
      </c>
      <c r="T731" t="str">
        <f t="shared" si="68"/>
        <v>Valid</v>
      </c>
      <c r="U731" t="str">
        <f t="shared" si="69"/>
        <v>Valid</v>
      </c>
      <c r="V731" t="str">
        <f t="shared" si="70"/>
        <v>Valid</v>
      </c>
      <c r="W731" t="str">
        <f t="shared" si="71"/>
        <v>Outlier</v>
      </c>
    </row>
    <row r="732" spans="1:23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  <c r="Q732" t="str">
        <f>IF(COUNTIF($A$2:A732,A732)&gt;1,"Duplicate","Unique")</f>
        <v>Unique</v>
      </c>
      <c r="R732" t="str">
        <f t="shared" si="66"/>
        <v>Valid</v>
      </c>
      <c r="S732" t="str">
        <f t="shared" si="67"/>
        <v>Valid</v>
      </c>
      <c r="T732" t="str">
        <f t="shared" si="68"/>
        <v>Valid</v>
      </c>
      <c r="U732" t="str">
        <f t="shared" si="69"/>
        <v>Valid</v>
      </c>
      <c r="V732" t="str">
        <f t="shared" si="70"/>
        <v>Valid</v>
      </c>
      <c r="W732" t="str">
        <f t="shared" si="71"/>
        <v>Outlier</v>
      </c>
    </row>
    <row r="733" spans="1:23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  <c r="Q733" t="str">
        <f>IF(COUNTIF($A$2:A733,A733)&gt;1,"Duplicate","Unique")</f>
        <v>Unique</v>
      </c>
      <c r="R733" t="str">
        <f t="shared" si="66"/>
        <v>Valid</v>
      </c>
      <c r="S733" t="str">
        <f t="shared" si="67"/>
        <v>Valid</v>
      </c>
      <c r="T733" t="str">
        <f t="shared" si="68"/>
        <v>Valid</v>
      </c>
      <c r="U733" t="str">
        <f t="shared" si="69"/>
        <v>Valid</v>
      </c>
      <c r="V733" t="str">
        <f t="shared" si="70"/>
        <v>Valid</v>
      </c>
      <c r="W733" t="str">
        <f t="shared" si="71"/>
        <v>Outlier</v>
      </c>
    </row>
    <row r="734" spans="1:23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  <c r="Q734" t="str">
        <f>IF(COUNTIF($A$2:A734,A734)&gt;1,"Duplicate","Unique")</f>
        <v>Unique</v>
      </c>
      <c r="R734" t="str">
        <f t="shared" si="66"/>
        <v>Valid</v>
      </c>
      <c r="S734" t="str">
        <f t="shared" si="67"/>
        <v>Valid</v>
      </c>
      <c r="T734" t="str">
        <f t="shared" si="68"/>
        <v>Valid</v>
      </c>
      <c r="U734" t="str">
        <f t="shared" si="69"/>
        <v>Valid</v>
      </c>
      <c r="V734" t="str">
        <f t="shared" si="70"/>
        <v>Valid</v>
      </c>
      <c r="W734" t="str">
        <f t="shared" si="71"/>
        <v>Outlier</v>
      </c>
    </row>
    <row r="735" spans="1:23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  <c r="Q735" t="str">
        <f>IF(COUNTIF($A$2:A735,A735)&gt;1,"Duplicate","Unique")</f>
        <v>Unique</v>
      </c>
      <c r="R735" t="str">
        <f t="shared" si="66"/>
        <v>Valid</v>
      </c>
      <c r="S735" t="str">
        <f t="shared" si="67"/>
        <v>Valid</v>
      </c>
      <c r="T735" t="str">
        <f t="shared" si="68"/>
        <v>Valid</v>
      </c>
      <c r="U735" t="str">
        <f t="shared" si="69"/>
        <v>Valid</v>
      </c>
      <c r="V735" t="str">
        <f t="shared" si="70"/>
        <v>Valid</v>
      </c>
      <c r="W735" t="str">
        <f t="shared" si="71"/>
        <v>Outlier</v>
      </c>
    </row>
    <row r="736" spans="1:23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  <c r="Q736" t="str">
        <f>IF(COUNTIF($A$2:A736,A736)&gt;1,"Duplicate","Unique")</f>
        <v>Unique</v>
      </c>
      <c r="R736" t="str">
        <f t="shared" si="66"/>
        <v>Valid</v>
      </c>
      <c r="S736" t="str">
        <f t="shared" si="67"/>
        <v>Valid</v>
      </c>
      <c r="T736" t="str">
        <f t="shared" si="68"/>
        <v>Valid</v>
      </c>
      <c r="U736" t="str">
        <f t="shared" si="69"/>
        <v>Valid</v>
      </c>
      <c r="V736" t="str">
        <f t="shared" si="70"/>
        <v>Valid</v>
      </c>
      <c r="W736" t="str">
        <f t="shared" si="71"/>
        <v>Outlier</v>
      </c>
    </row>
    <row r="737" spans="1:23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  <c r="Q737" t="str">
        <f>IF(COUNTIF($A$2:A737,A737)&gt;1,"Duplicate","Unique")</f>
        <v>Unique</v>
      </c>
      <c r="R737" t="str">
        <f t="shared" si="66"/>
        <v>Valid</v>
      </c>
      <c r="S737" t="str">
        <f t="shared" si="67"/>
        <v>Valid</v>
      </c>
      <c r="T737" t="str">
        <f t="shared" si="68"/>
        <v>Valid</v>
      </c>
      <c r="U737" t="str">
        <f t="shared" si="69"/>
        <v>Valid</v>
      </c>
      <c r="V737" t="str">
        <f t="shared" si="70"/>
        <v>Valid</v>
      </c>
      <c r="W737" t="str">
        <f t="shared" si="71"/>
        <v>Outlier</v>
      </c>
    </row>
    <row r="738" spans="1:23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  <c r="Q738" t="str">
        <f>IF(COUNTIF($A$2:A738,A738)&gt;1,"Duplicate","Unique")</f>
        <v>Unique</v>
      </c>
      <c r="R738" t="str">
        <f t="shared" si="66"/>
        <v>Valid</v>
      </c>
      <c r="S738" t="str">
        <f t="shared" si="67"/>
        <v>Valid</v>
      </c>
      <c r="T738" t="str">
        <f t="shared" si="68"/>
        <v>Valid</v>
      </c>
      <c r="U738" t="str">
        <f t="shared" si="69"/>
        <v>Valid</v>
      </c>
      <c r="V738" t="str">
        <f t="shared" si="70"/>
        <v>Valid</v>
      </c>
      <c r="W738" t="str">
        <f t="shared" si="71"/>
        <v>Outlier</v>
      </c>
    </row>
    <row r="739" spans="1:23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  <c r="Q739" t="str">
        <f>IF(COUNTIF($A$2:A739,A739)&gt;1,"Duplicate","Unique")</f>
        <v>Unique</v>
      </c>
      <c r="R739" t="str">
        <f t="shared" si="66"/>
        <v>Valid</v>
      </c>
      <c r="S739" t="str">
        <f t="shared" si="67"/>
        <v>Valid</v>
      </c>
      <c r="T739" t="str">
        <f t="shared" si="68"/>
        <v>Valid</v>
      </c>
      <c r="U739" t="str">
        <f t="shared" si="69"/>
        <v>Valid</v>
      </c>
      <c r="V739" t="str">
        <f t="shared" si="70"/>
        <v>Valid</v>
      </c>
      <c r="W739" t="str">
        <f t="shared" si="71"/>
        <v>Outlier</v>
      </c>
    </row>
    <row r="740" spans="1:23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  <c r="Q740" t="str">
        <f>IF(COUNTIF($A$2:A740,A740)&gt;1,"Duplicate","Unique")</f>
        <v>Unique</v>
      </c>
      <c r="R740" t="str">
        <f t="shared" si="66"/>
        <v>Valid</v>
      </c>
      <c r="S740" t="str">
        <f t="shared" si="67"/>
        <v>Valid</v>
      </c>
      <c r="T740" t="str">
        <f t="shared" si="68"/>
        <v>Valid</v>
      </c>
      <c r="U740" t="str">
        <f t="shared" si="69"/>
        <v>Valid</v>
      </c>
      <c r="V740" t="str">
        <f t="shared" si="70"/>
        <v>Valid</v>
      </c>
      <c r="W740" t="str">
        <f t="shared" si="71"/>
        <v>Outlier</v>
      </c>
    </row>
    <row r="741" spans="1:23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  <c r="Q741" t="str">
        <f>IF(COUNTIF($A$2:A741,A741)&gt;1,"Duplicate","Unique")</f>
        <v>Unique</v>
      </c>
      <c r="R741" t="str">
        <f t="shared" si="66"/>
        <v>Valid</v>
      </c>
      <c r="S741" t="str">
        <f t="shared" si="67"/>
        <v>Valid</v>
      </c>
      <c r="T741" t="str">
        <f t="shared" si="68"/>
        <v>Valid</v>
      </c>
      <c r="U741" t="str">
        <f t="shared" si="69"/>
        <v>Valid</v>
      </c>
      <c r="V741" t="str">
        <f t="shared" si="70"/>
        <v>Valid</v>
      </c>
      <c r="W741" t="str">
        <f t="shared" si="71"/>
        <v>Outlier</v>
      </c>
    </row>
    <row r="742" spans="1:23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  <c r="Q742" t="str">
        <f>IF(COUNTIF($A$2:A742,A742)&gt;1,"Duplicate","Unique")</f>
        <v>Unique</v>
      </c>
      <c r="R742" t="str">
        <f t="shared" si="66"/>
        <v>Valid</v>
      </c>
      <c r="S742" t="str">
        <f t="shared" si="67"/>
        <v>Valid</v>
      </c>
      <c r="T742" t="str">
        <f t="shared" si="68"/>
        <v>Valid</v>
      </c>
      <c r="U742" t="str">
        <f t="shared" si="69"/>
        <v>Valid</v>
      </c>
      <c r="V742" t="str">
        <f t="shared" si="70"/>
        <v>Valid</v>
      </c>
      <c r="W742" t="str">
        <f t="shared" si="71"/>
        <v>Outlier</v>
      </c>
    </row>
    <row r="743" spans="1:23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  <c r="Q743" t="str">
        <f>IF(COUNTIF($A$2:A743,A743)&gt;1,"Duplicate","Unique")</f>
        <v>Unique</v>
      </c>
      <c r="R743" t="str">
        <f t="shared" si="66"/>
        <v>Valid</v>
      </c>
      <c r="S743" t="str">
        <f t="shared" si="67"/>
        <v>Valid</v>
      </c>
      <c r="T743" t="str">
        <f t="shared" si="68"/>
        <v>Valid</v>
      </c>
      <c r="U743" t="str">
        <f t="shared" si="69"/>
        <v>Valid</v>
      </c>
      <c r="V743" t="str">
        <f t="shared" si="70"/>
        <v>Valid</v>
      </c>
      <c r="W743" t="str">
        <f t="shared" si="71"/>
        <v>Outlier</v>
      </c>
    </row>
    <row r="744" spans="1:23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  <c r="Q744" t="str">
        <f>IF(COUNTIF($A$2:A744,A744)&gt;1,"Duplicate","Unique")</f>
        <v>Unique</v>
      </c>
      <c r="R744" t="str">
        <f t="shared" si="66"/>
        <v>Valid</v>
      </c>
      <c r="S744" t="str">
        <f t="shared" si="67"/>
        <v>Valid</v>
      </c>
      <c r="T744" t="str">
        <f t="shared" si="68"/>
        <v>Valid</v>
      </c>
      <c r="U744" t="str">
        <f t="shared" si="69"/>
        <v>Valid</v>
      </c>
      <c r="V744" t="str">
        <f t="shared" si="70"/>
        <v>Valid</v>
      </c>
      <c r="W744" t="str">
        <f t="shared" si="71"/>
        <v>Outlier</v>
      </c>
    </row>
    <row r="745" spans="1:23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  <c r="Q745" t="str">
        <f>IF(COUNTIF($A$2:A745,A745)&gt;1,"Duplicate","Unique")</f>
        <v>Unique</v>
      </c>
      <c r="R745" t="str">
        <f t="shared" si="66"/>
        <v>Valid</v>
      </c>
      <c r="S745" t="str">
        <f t="shared" si="67"/>
        <v>Valid</v>
      </c>
      <c r="T745" t="str">
        <f t="shared" si="68"/>
        <v>Valid</v>
      </c>
      <c r="U745" t="str">
        <f t="shared" si="69"/>
        <v>Valid</v>
      </c>
      <c r="V745" t="str">
        <f t="shared" si="70"/>
        <v>Valid</v>
      </c>
      <c r="W745" t="str">
        <f t="shared" si="71"/>
        <v>Outlier</v>
      </c>
    </row>
    <row r="746" spans="1:23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  <c r="Q746" t="str">
        <f>IF(COUNTIF($A$2:A746,A746)&gt;1,"Duplicate","Unique")</f>
        <v>Unique</v>
      </c>
      <c r="R746" t="str">
        <f t="shared" si="66"/>
        <v>Valid</v>
      </c>
      <c r="S746" t="str">
        <f t="shared" si="67"/>
        <v>Valid</v>
      </c>
      <c r="T746" t="str">
        <f t="shared" si="68"/>
        <v>Valid</v>
      </c>
      <c r="U746" t="str">
        <f t="shared" si="69"/>
        <v>Valid</v>
      </c>
      <c r="V746" t="str">
        <f t="shared" si="70"/>
        <v>Valid</v>
      </c>
      <c r="W746" t="str">
        <f t="shared" si="71"/>
        <v>Outlier</v>
      </c>
    </row>
    <row r="747" spans="1:23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  <c r="Q747" t="str">
        <f>IF(COUNTIF($A$2:A747,A747)&gt;1,"Duplicate","Unique")</f>
        <v>Unique</v>
      </c>
      <c r="R747" t="str">
        <f t="shared" si="66"/>
        <v>Valid</v>
      </c>
      <c r="S747" t="str">
        <f t="shared" si="67"/>
        <v>Valid</v>
      </c>
      <c r="T747" t="str">
        <f t="shared" si="68"/>
        <v>Valid</v>
      </c>
      <c r="U747" t="str">
        <f t="shared" si="69"/>
        <v>Valid</v>
      </c>
      <c r="V747" t="str">
        <f t="shared" si="70"/>
        <v>Valid</v>
      </c>
      <c r="W747" t="str">
        <f t="shared" si="71"/>
        <v>Outlier</v>
      </c>
    </row>
    <row r="748" spans="1:23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  <c r="Q748" t="str">
        <f>IF(COUNTIF($A$2:A748,A748)&gt;1,"Duplicate","Unique")</f>
        <v>Unique</v>
      </c>
      <c r="R748" t="str">
        <f t="shared" si="66"/>
        <v>Valid</v>
      </c>
      <c r="S748" t="str">
        <f t="shared" si="67"/>
        <v>Valid</v>
      </c>
      <c r="T748" t="str">
        <f t="shared" si="68"/>
        <v>Valid</v>
      </c>
      <c r="U748" t="str">
        <f t="shared" si="69"/>
        <v>Valid</v>
      </c>
      <c r="V748" t="str">
        <f t="shared" si="70"/>
        <v>Valid</v>
      </c>
      <c r="W748" t="str">
        <f t="shared" si="71"/>
        <v>Outlier</v>
      </c>
    </row>
    <row r="749" spans="1:23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  <c r="Q749" t="str">
        <f>IF(COUNTIF($A$2:A749,A749)&gt;1,"Duplicate","Unique")</f>
        <v>Unique</v>
      </c>
      <c r="R749" t="str">
        <f t="shared" si="66"/>
        <v>Valid</v>
      </c>
      <c r="S749" t="str">
        <f t="shared" si="67"/>
        <v>Valid</v>
      </c>
      <c r="T749" t="str">
        <f t="shared" si="68"/>
        <v>Valid</v>
      </c>
      <c r="U749" t="str">
        <f t="shared" si="69"/>
        <v>Valid</v>
      </c>
      <c r="V749" t="str">
        <f t="shared" si="70"/>
        <v>Valid</v>
      </c>
      <c r="W749" t="str">
        <f t="shared" si="71"/>
        <v>Outlier</v>
      </c>
    </row>
    <row r="750" spans="1:23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  <c r="Q750" t="str">
        <f>IF(COUNTIF($A$2:A750,A750)&gt;1,"Duplicate","Unique")</f>
        <v>Unique</v>
      </c>
      <c r="R750" t="str">
        <f t="shared" si="66"/>
        <v>Valid</v>
      </c>
      <c r="S750" t="str">
        <f t="shared" si="67"/>
        <v>Valid</v>
      </c>
      <c r="T750" t="str">
        <f t="shared" si="68"/>
        <v>Valid</v>
      </c>
      <c r="U750" t="str">
        <f t="shared" si="69"/>
        <v>Valid</v>
      </c>
      <c r="V750" t="str">
        <f t="shared" si="70"/>
        <v>Valid</v>
      </c>
      <c r="W750" t="str">
        <f t="shared" si="71"/>
        <v>Outlier</v>
      </c>
    </row>
    <row r="751" spans="1:23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  <c r="Q751" t="str">
        <f>IF(COUNTIF($A$2:A751,A751)&gt;1,"Duplicate","Unique")</f>
        <v>Unique</v>
      </c>
      <c r="R751" t="str">
        <f t="shared" si="66"/>
        <v>Valid</v>
      </c>
      <c r="S751" t="str">
        <f t="shared" si="67"/>
        <v>Valid</v>
      </c>
      <c r="T751" t="str">
        <f t="shared" si="68"/>
        <v>Valid</v>
      </c>
      <c r="U751" t="str">
        <f t="shared" si="69"/>
        <v>Valid</v>
      </c>
      <c r="V751" t="str">
        <f t="shared" si="70"/>
        <v>Valid</v>
      </c>
      <c r="W751" t="str">
        <f t="shared" si="71"/>
        <v>Outlier</v>
      </c>
    </row>
    <row r="752" spans="1:23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  <c r="Q752" t="str">
        <f>IF(COUNTIF($A$2:A752,A752)&gt;1,"Duplicate","Unique")</f>
        <v>Unique</v>
      </c>
      <c r="R752" t="str">
        <f t="shared" si="66"/>
        <v>Valid</v>
      </c>
      <c r="S752" t="str">
        <f t="shared" si="67"/>
        <v>Valid</v>
      </c>
      <c r="T752" t="str">
        <f t="shared" si="68"/>
        <v>Valid</v>
      </c>
      <c r="U752" t="str">
        <f t="shared" si="69"/>
        <v>Valid</v>
      </c>
      <c r="V752" t="str">
        <f t="shared" si="70"/>
        <v>Valid</v>
      </c>
      <c r="W752" t="str">
        <f t="shared" si="71"/>
        <v>Outlier</v>
      </c>
    </row>
    <row r="753" spans="1:23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  <c r="Q753" t="str">
        <f>IF(COUNTIF($A$2:A753,A753)&gt;1,"Duplicate","Unique")</f>
        <v>Unique</v>
      </c>
      <c r="R753" t="str">
        <f t="shared" si="66"/>
        <v>Valid</v>
      </c>
      <c r="S753" t="str">
        <f t="shared" si="67"/>
        <v>Valid</v>
      </c>
      <c r="T753" t="str">
        <f t="shared" si="68"/>
        <v>Valid</v>
      </c>
      <c r="U753" t="str">
        <f t="shared" si="69"/>
        <v>Valid</v>
      </c>
      <c r="V753" t="str">
        <f t="shared" si="70"/>
        <v>Valid</v>
      </c>
      <c r="W753" t="str">
        <f t="shared" si="71"/>
        <v>Outlier</v>
      </c>
    </row>
    <row r="754" spans="1:23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  <c r="Q754" t="str">
        <f>IF(COUNTIF($A$2:A754,A754)&gt;1,"Duplicate","Unique")</f>
        <v>Unique</v>
      </c>
      <c r="R754" t="str">
        <f t="shared" si="66"/>
        <v>Valid</v>
      </c>
      <c r="S754" t="str">
        <f t="shared" si="67"/>
        <v>Valid</v>
      </c>
      <c r="T754" t="str">
        <f t="shared" si="68"/>
        <v>Valid</v>
      </c>
      <c r="U754" t="str">
        <f t="shared" si="69"/>
        <v>Valid</v>
      </c>
      <c r="V754" t="str">
        <f t="shared" si="70"/>
        <v>Valid</v>
      </c>
      <c r="W754" t="str">
        <f t="shared" si="71"/>
        <v>Outlier</v>
      </c>
    </row>
    <row r="755" spans="1:23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  <c r="Q755" t="str">
        <f>IF(COUNTIF($A$2:A755,A755)&gt;1,"Duplicate","Unique")</f>
        <v>Unique</v>
      </c>
      <c r="R755" t="str">
        <f t="shared" si="66"/>
        <v>Valid</v>
      </c>
      <c r="S755" t="str">
        <f t="shared" si="67"/>
        <v>Valid</v>
      </c>
      <c r="T755" t="str">
        <f t="shared" si="68"/>
        <v>Valid</v>
      </c>
      <c r="U755" t="str">
        <f t="shared" si="69"/>
        <v>Valid</v>
      </c>
      <c r="V755" t="str">
        <f t="shared" si="70"/>
        <v>Valid</v>
      </c>
      <c r="W755" t="str">
        <f t="shared" si="71"/>
        <v>Outlier</v>
      </c>
    </row>
    <row r="756" spans="1:23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  <c r="Q756" t="str">
        <f>IF(COUNTIF($A$2:A756,A756)&gt;1,"Duplicate","Unique")</f>
        <v>Unique</v>
      </c>
      <c r="R756" t="str">
        <f t="shared" si="66"/>
        <v>Valid</v>
      </c>
      <c r="S756" t="str">
        <f t="shared" si="67"/>
        <v>Valid</v>
      </c>
      <c r="T756" t="str">
        <f t="shared" si="68"/>
        <v>Valid</v>
      </c>
      <c r="U756" t="str">
        <f t="shared" si="69"/>
        <v>Valid</v>
      </c>
      <c r="V756" t="str">
        <f t="shared" si="70"/>
        <v>Valid</v>
      </c>
      <c r="W756" t="str">
        <f t="shared" si="71"/>
        <v>Outlier</v>
      </c>
    </row>
    <row r="757" spans="1:23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  <c r="Q757" t="str">
        <f>IF(COUNTIF($A$2:A757,A757)&gt;1,"Duplicate","Unique")</f>
        <v>Unique</v>
      </c>
      <c r="R757" t="str">
        <f t="shared" si="66"/>
        <v>Valid</v>
      </c>
      <c r="S757" t="str">
        <f t="shared" si="67"/>
        <v>Valid</v>
      </c>
      <c r="T757" t="str">
        <f t="shared" si="68"/>
        <v>Valid</v>
      </c>
      <c r="U757" t="str">
        <f t="shared" si="69"/>
        <v>Valid</v>
      </c>
      <c r="V757" t="str">
        <f t="shared" si="70"/>
        <v>Valid</v>
      </c>
      <c r="W757" t="str">
        <f t="shared" si="71"/>
        <v>Outlier</v>
      </c>
    </row>
    <row r="758" spans="1:23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  <c r="Q758" t="str">
        <f>IF(COUNTIF($A$2:A758,A758)&gt;1,"Duplicate","Unique")</f>
        <v>Unique</v>
      </c>
      <c r="R758" t="str">
        <f t="shared" si="66"/>
        <v>Valid</v>
      </c>
      <c r="S758" t="str">
        <f t="shared" si="67"/>
        <v>Valid</v>
      </c>
      <c r="T758" t="str">
        <f t="shared" si="68"/>
        <v>Valid</v>
      </c>
      <c r="U758" t="str">
        <f t="shared" si="69"/>
        <v>Valid</v>
      </c>
      <c r="V758" t="str">
        <f t="shared" si="70"/>
        <v>Valid</v>
      </c>
      <c r="W758" t="str">
        <f t="shared" si="71"/>
        <v>Outlier</v>
      </c>
    </row>
    <row r="759" spans="1:23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  <c r="Q759" t="str">
        <f>IF(COUNTIF($A$2:A759,A759)&gt;1,"Duplicate","Unique")</f>
        <v>Unique</v>
      </c>
      <c r="R759" t="str">
        <f t="shared" si="66"/>
        <v>Valid</v>
      </c>
      <c r="S759" t="str">
        <f t="shared" si="67"/>
        <v>Valid</v>
      </c>
      <c r="T759" t="str">
        <f t="shared" si="68"/>
        <v>Valid</v>
      </c>
      <c r="U759" t="str">
        <f t="shared" si="69"/>
        <v>Valid</v>
      </c>
      <c r="V759" t="str">
        <f t="shared" si="70"/>
        <v>Valid</v>
      </c>
      <c r="W759" t="str">
        <f t="shared" si="71"/>
        <v>Outlier</v>
      </c>
    </row>
    <row r="760" spans="1:23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  <c r="Q760" t="str">
        <f>IF(COUNTIF($A$2:A760,A760)&gt;1,"Duplicate","Unique")</f>
        <v>Unique</v>
      </c>
      <c r="R760" t="str">
        <f t="shared" si="66"/>
        <v>Valid</v>
      </c>
      <c r="S760" t="str">
        <f t="shared" si="67"/>
        <v>Valid</v>
      </c>
      <c r="T760" t="str">
        <f t="shared" si="68"/>
        <v>Valid</v>
      </c>
      <c r="U760" t="str">
        <f t="shared" si="69"/>
        <v>Valid</v>
      </c>
      <c r="V760" t="str">
        <f t="shared" si="70"/>
        <v>Valid</v>
      </c>
      <c r="W760" t="str">
        <f t="shared" si="71"/>
        <v>Outlier</v>
      </c>
    </row>
    <row r="761" spans="1:23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  <c r="Q761" t="str">
        <f>IF(COUNTIF($A$2:A761,A761)&gt;1,"Duplicate","Unique")</f>
        <v>Unique</v>
      </c>
      <c r="R761" t="str">
        <f t="shared" si="66"/>
        <v>Valid</v>
      </c>
      <c r="S761" t="str">
        <f t="shared" si="67"/>
        <v>Valid</v>
      </c>
      <c r="T761" t="str">
        <f t="shared" si="68"/>
        <v>Valid</v>
      </c>
      <c r="U761" t="str">
        <f t="shared" si="69"/>
        <v>Valid</v>
      </c>
      <c r="V761" t="str">
        <f t="shared" si="70"/>
        <v>Valid</v>
      </c>
      <c r="W761" t="str">
        <f t="shared" si="71"/>
        <v>Outlier</v>
      </c>
    </row>
    <row r="762" spans="1:23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  <c r="Q762" t="str">
        <f>IF(COUNTIF($A$2:A762,A762)&gt;1,"Duplicate","Unique")</f>
        <v>Unique</v>
      </c>
      <c r="R762" t="str">
        <f t="shared" si="66"/>
        <v>Valid</v>
      </c>
      <c r="S762" t="str">
        <f t="shared" si="67"/>
        <v>Valid</v>
      </c>
      <c r="T762" t="str">
        <f t="shared" si="68"/>
        <v>Valid</v>
      </c>
      <c r="U762" t="str">
        <f t="shared" si="69"/>
        <v>Valid</v>
      </c>
      <c r="V762" t="str">
        <f t="shared" si="70"/>
        <v>Valid</v>
      </c>
      <c r="W762" t="str">
        <f t="shared" si="71"/>
        <v>Outlier</v>
      </c>
    </row>
    <row r="763" spans="1:23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Q763" t="str">
        <f>IF(COUNTIF($A$2:A763,A763)&gt;1,"Duplicate","Unique")</f>
        <v>Unique</v>
      </c>
      <c r="R763" t="str">
        <f t="shared" si="66"/>
        <v>Valid</v>
      </c>
      <c r="S763" t="str">
        <f t="shared" si="67"/>
        <v>Valid</v>
      </c>
      <c r="T763" t="str">
        <f t="shared" si="68"/>
        <v>Valid</v>
      </c>
      <c r="U763" t="str">
        <f t="shared" si="69"/>
        <v>Valid</v>
      </c>
      <c r="V763" t="str">
        <f t="shared" si="70"/>
        <v>Valid</v>
      </c>
      <c r="W763" t="str">
        <f t="shared" si="71"/>
        <v>Outlier</v>
      </c>
    </row>
    <row r="764" spans="1:23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  <c r="Q764" t="str">
        <f>IF(COUNTIF($A$2:A764,A764)&gt;1,"Duplicate","Unique")</f>
        <v>Unique</v>
      </c>
      <c r="R764" t="str">
        <f t="shared" si="66"/>
        <v>Valid</v>
      </c>
      <c r="S764" t="str">
        <f t="shared" si="67"/>
        <v>Valid</v>
      </c>
      <c r="T764" t="str">
        <f t="shared" si="68"/>
        <v>Valid</v>
      </c>
      <c r="U764" t="str">
        <f t="shared" si="69"/>
        <v>Valid</v>
      </c>
      <c r="V764" t="str">
        <f t="shared" si="70"/>
        <v>Valid</v>
      </c>
      <c r="W764" t="str">
        <f t="shared" si="71"/>
        <v>Outlier</v>
      </c>
    </row>
    <row r="765" spans="1:23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  <c r="Q765" t="str">
        <f>IF(COUNTIF($A$2:A765,A765)&gt;1,"Duplicate","Unique")</f>
        <v>Unique</v>
      </c>
      <c r="R765" t="str">
        <f t="shared" si="66"/>
        <v>Valid</v>
      </c>
      <c r="S765" t="str">
        <f t="shared" si="67"/>
        <v>Valid</v>
      </c>
      <c r="T765" t="str">
        <f t="shared" si="68"/>
        <v>Valid</v>
      </c>
      <c r="U765" t="str">
        <f t="shared" si="69"/>
        <v>Valid</v>
      </c>
      <c r="V765" t="str">
        <f t="shared" si="70"/>
        <v>Valid</v>
      </c>
      <c r="W765" t="str">
        <f t="shared" si="71"/>
        <v>Outlier</v>
      </c>
    </row>
    <row r="766" spans="1:23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  <c r="Q766" t="str">
        <f>IF(COUNTIF($A$2:A766,A766)&gt;1,"Duplicate","Unique")</f>
        <v>Unique</v>
      </c>
      <c r="R766" t="str">
        <f t="shared" si="66"/>
        <v>Valid</v>
      </c>
      <c r="S766" t="str">
        <f t="shared" si="67"/>
        <v>Valid</v>
      </c>
      <c r="T766" t="str">
        <f t="shared" si="68"/>
        <v>Valid</v>
      </c>
      <c r="U766" t="str">
        <f t="shared" si="69"/>
        <v>Valid</v>
      </c>
      <c r="V766" t="str">
        <f t="shared" si="70"/>
        <v>Valid</v>
      </c>
      <c r="W766" t="str">
        <f t="shared" si="71"/>
        <v>Outlier</v>
      </c>
    </row>
    <row r="767" spans="1:23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  <c r="Q767" t="str">
        <f>IF(COUNTIF($A$2:A767,A767)&gt;1,"Duplicate","Unique")</f>
        <v>Unique</v>
      </c>
      <c r="R767" t="str">
        <f t="shared" si="66"/>
        <v>Valid</v>
      </c>
      <c r="S767" t="str">
        <f t="shared" si="67"/>
        <v>Valid</v>
      </c>
      <c r="T767" t="str">
        <f t="shared" si="68"/>
        <v>Valid</v>
      </c>
      <c r="U767" t="str">
        <f t="shared" si="69"/>
        <v>Valid</v>
      </c>
      <c r="V767" t="str">
        <f t="shared" si="70"/>
        <v>Valid</v>
      </c>
      <c r="W767" t="str">
        <f t="shared" si="71"/>
        <v>Outlier</v>
      </c>
    </row>
    <row r="768" spans="1:23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  <c r="Q768" t="str">
        <f>IF(COUNTIF($A$2:A768,A768)&gt;1,"Duplicate","Unique")</f>
        <v>Unique</v>
      </c>
      <c r="R768" t="str">
        <f t="shared" si="66"/>
        <v>Valid</v>
      </c>
      <c r="S768" t="str">
        <f t="shared" si="67"/>
        <v>Valid</v>
      </c>
      <c r="T768" t="str">
        <f t="shared" si="68"/>
        <v>Valid</v>
      </c>
      <c r="U768" t="str">
        <f t="shared" si="69"/>
        <v>Valid</v>
      </c>
      <c r="V768" t="str">
        <f t="shared" si="70"/>
        <v>Valid</v>
      </c>
      <c r="W768" t="str">
        <f t="shared" si="71"/>
        <v>Outlier</v>
      </c>
    </row>
    <row r="769" spans="1:23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  <c r="Q769" t="str">
        <f>IF(COUNTIF($A$2:A769,A769)&gt;1,"Duplicate","Unique")</f>
        <v>Unique</v>
      </c>
      <c r="R769" t="str">
        <f t="shared" si="66"/>
        <v>Valid</v>
      </c>
      <c r="S769" t="str">
        <f t="shared" si="67"/>
        <v>Valid</v>
      </c>
      <c r="T769" t="str">
        <f t="shared" si="68"/>
        <v>Valid</v>
      </c>
      <c r="U769" t="str">
        <f t="shared" si="69"/>
        <v>Valid</v>
      </c>
      <c r="V769" t="str">
        <f t="shared" si="70"/>
        <v>Valid</v>
      </c>
      <c r="W769" t="str">
        <f t="shared" si="71"/>
        <v>Outlier</v>
      </c>
    </row>
    <row r="770" spans="1:23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  <c r="Q770" t="str">
        <f>IF(COUNTIF($A$2:A770,A770)&gt;1,"Duplicate","Unique")</f>
        <v>Unique</v>
      </c>
      <c r="R770" t="str">
        <f t="shared" si="66"/>
        <v>Valid</v>
      </c>
      <c r="S770" t="str">
        <f t="shared" si="67"/>
        <v>Valid</v>
      </c>
      <c r="T770" t="str">
        <f t="shared" si="68"/>
        <v>Valid</v>
      </c>
      <c r="U770" t="str">
        <f t="shared" si="69"/>
        <v>Valid</v>
      </c>
      <c r="V770" t="str">
        <f t="shared" si="70"/>
        <v>Valid</v>
      </c>
      <c r="W770" t="str">
        <f t="shared" si="71"/>
        <v>Outlier</v>
      </c>
    </row>
    <row r="771" spans="1:23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  <c r="Q771" t="str">
        <f>IF(COUNTIF($A$2:A771,A771)&gt;1,"Duplicate","Unique")</f>
        <v>Unique</v>
      </c>
      <c r="R771" t="str">
        <f t="shared" ref="R771:R834" si="72">IF(OR(H771=0,H771=1),"Valid","Invalid")</f>
        <v>Valid</v>
      </c>
      <c r="S771" t="str">
        <f t="shared" ref="S771:S834" si="73">IF(OR(I771=0,I771=1),"Valid","Invalid")</f>
        <v>Valid</v>
      </c>
      <c r="T771" t="str">
        <f t="shared" ref="T771:T834" si="74">IF(OR(J771=0,J771=1),"Valid","Invalid")</f>
        <v>Valid</v>
      </c>
      <c r="U771" t="str">
        <f t="shared" ref="U771:U834" si="75">IF(OR(K771=0,K771=1),"Valid","Invalid")</f>
        <v>Valid</v>
      </c>
      <c r="V771" t="str">
        <f t="shared" ref="V771:V834" si="76">IF(OR(N771=0,N771=1),"Valid","Invalid")</f>
        <v>Valid</v>
      </c>
      <c r="W771" t="str">
        <f t="shared" ref="W771:W834" si="77">IF(OR(L771&lt;$B$23,L771&gt;$B$24),"Outlier","Normal")</f>
        <v>Outlier</v>
      </c>
    </row>
    <row r="772" spans="1:23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  <c r="Q772" t="str">
        <f>IF(COUNTIF($A$2:A772,A772)&gt;1,"Duplicate","Unique")</f>
        <v>Unique</v>
      </c>
      <c r="R772" t="str">
        <f t="shared" si="72"/>
        <v>Valid</v>
      </c>
      <c r="S772" t="str">
        <f t="shared" si="73"/>
        <v>Valid</v>
      </c>
      <c r="T772" t="str">
        <f t="shared" si="74"/>
        <v>Valid</v>
      </c>
      <c r="U772" t="str">
        <f t="shared" si="75"/>
        <v>Valid</v>
      </c>
      <c r="V772" t="str">
        <f t="shared" si="76"/>
        <v>Valid</v>
      </c>
      <c r="W772" t="str">
        <f t="shared" si="77"/>
        <v>Outlier</v>
      </c>
    </row>
    <row r="773" spans="1:23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  <c r="Q773" t="str">
        <f>IF(COUNTIF($A$2:A773,A773)&gt;1,"Duplicate","Unique")</f>
        <v>Unique</v>
      </c>
      <c r="R773" t="str">
        <f t="shared" si="72"/>
        <v>Valid</v>
      </c>
      <c r="S773" t="str">
        <f t="shared" si="73"/>
        <v>Valid</v>
      </c>
      <c r="T773" t="str">
        <f t="shared" si="74"/>
        <v>Valid</v>
      </c>
      <c r="U773" t="str">
        <f t="shared" si="75"/>
        <v>Valid</v>
      </c>
      <c r="V773" t="str">
        <f t="shared" si="76"/>
        <v>Valid</v>
      </c>
      <c r="W773" t="str">
        <f t="shared" si="77"/>
        <v>Outlier</v>
      </c>
    </row>
    <row r="774" spans="1:23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  <c r="Q774" t="str">
        <f>IF(COUNTIF($A$2:A774,A774)&gt;1,"Duplicate","Unique")</f>
        <v>Unique</v>
      </c>
      <c r="R774" t="str">
        <f t="shared" si="72"/>
        <v>Valid</v>
      </c>
      <c r="S774" t="str">
        <f t="shared" si="73"/>
        <v>Valid</v>
      </c>
      <c r="T774" t="str">
        <f t="shared" si="74"/>
        <v>Valid</v>
      </c>
      <c r="U774" t="str">
        <f t="shared" si="75"/>
        <v>Valid</v>
      </c>
      <c r="V774" t="str">
        <f t="shared" si="76"/>
        <v>Valid</v>
      </c>
      <c r="W774" t="str">
        <f t="shared" si="77"/>
        <v>Outlier</v>
      </c>
    </row>
    <row r="775" spans="1:23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  <c r="Q775" t="str">
        <f>IF(COUNTIF($A$2:A775,A775)&gt;1,"Duplicate","Unique")</f>
        <v>Unique</v>
      </c>
      <c r="R775" t="str">
        <f t="shared" si="72"/>
        <v>Valid</v>
      </c>
      <c r="S775" t="str">
        <f t="shared" si="73"/>
        <v>Valid</v>
      </c>
      <c r="T775" t="str">
        <f t="shared" si="74"/>
        <v>Valid</v>
      </c>
      <c r="U775" t="str">
        <f t="shared" si="75"/>
        <v>Valid</v>
      </c>
      <c r="V775" t="str">
        <f t="shared" si="76"/>
        <v>Valid</v>
      </c>
      <c r="W775" t="str">
        <f t="shared" si="77"/>
        <v>Outlier</v>
      </c>
    </row>
    <row r="776" spans="1:23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  <c r="Q776" t="str">
        <f>IF(COUNTIF($A$2:A776,A776)&gt;1,"Duplicate","Unique")</f>
        <v>Unique</v>
      </c>
      <c r="R776" t="str">
        <f t="shared" si="72"/>
        <v>Valid</v>
      </c>
      <c r="S776" t="str">
        <f t="shared" si="73"/>
        <v>Valid</v>
      </c>
      <c r="T776" t="str">
        <f t="shared" si="74"/>
        <v>Valid</v>
      </c>
      <c r="U776" t="str">
        <f t="shared" si="75"/>
        <v>Valid</v>
      </c>
      <c r="V776" t="str">
        <f t="shared" si="76"/>
        <v>Valid</v>
      </c>
      <c r="W776" t="str">
        <f t="shared" si="77"/>
        <v>Outlier</v>
      </c>
    </row>
    <row r="777" spans="1:23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  <c r="Q777" t="str">
        <f>IF(COUNTIF($A$2:A777,A777)&gt;1,"Duplicate","Unique")</f>
        <v>Unique</v>
      </c>
      <c r="R777" t="str">
        <f t="shared" si="72"/>
        <v>Valid</v>
      </c>
      <c r="S777" t="str">
        <f t="shared" si="73"/>
        <v>Valid</v>
      </c>
      <c r="T777" t="str">
        <f t="shared" si="74"/>
        <v>Valid</v>
      </c>
      <c r="U777" t="str">
        <f t="shared" si="75"/>
        <v>Valid</v>
      </c>
      <c r="V777" t="str">
        <f t="shared" si="76"/>
        <v>Valid</v>
      </c>
      <c r="W777" t="str">
        <f t="shared" si="77"/>
        <v>Outlier</v>
      </c>
    </row>
    <row r="778" spans="1:23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  <c r="Q778" t="str">
        <f>IF(COUNTIF($A$2:A778,A778)&gt;1,"Duplicate","Unique")</f>
        <v>Unique</v>
      </c>
      <c r="R778" t="str">
        <f t="shared" si="72"/>
        <v>Valid</v>
      </c>
      <c r="S778" t="str">
        <f t="shared" si="73"/>
        <v>Valid</v>
      </c>
      <c r="T778" t="str">
        <f t="shared" si="74"/>
        <v>Valid</v>
      </c>
      <c r="U778" t="str">
        <f t="shared" si="75"/>
        <v>Valid</v>
      </c>
      <c r="V778" t="str">
        <f t="shared" si="76"/>
        <v>Valid</v>
      </c>
      <c r="W778" t="str">
        <f t="shared" si="77"/>
        <v>Outlier</v>
      </c>
    </row>
    <row r="779" spans="1:23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  <c r="Q779" t="str">
        <f>IF(COUNTIF($A$2:A779,A779)&gt;1,"Duplicate","Unique")</f>
        <v>Unique</v>
      </c>
      <c r="R779" t="str">
        <f t="shared" si="72"/>
        <v>Valid</v>
      </c>
      <c r="S779" t="str">
        <f t="shared" si="73"/>
        <v>Valid</v>
      </c>
      <c r="T779" t="str">
        <f t="shared" si="74"/>
        <v>Valid</v>
      </c>
      <c r="U779" t="str">
        <f t="shared" si="75"/>
        <v>Valid</v>
      </c>
      <c r="V779" t="str">
        <f t="shared" si="76"/>
        <v>Valid</v>
      </c>
      <c r="W779" t="str">
        <f t="shared" si="77"/>
        <v>Outlier</v>
      </c>
    </row>
    <row r="780" spans="1:23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  <c r="Q780" t="str">
        <f>IF(COUNTIF($A$2:A780,A780)&gt;1,"Duplicate","Unique")</f>
        <v>Unique</v>
      </c>
      <c r="R780" t="str">
        <f t="shared" si="72"/>
        <v>Valid</v>
      </c>
      <c r="S780" t="str">
        <f t="shared" si="73"/>
        <v>Valid</v>
      </c>
      <c r="T780" t="str">
        <f t="shared" si="74"/>
        <v>Valid</v>
      </c>
      <c r="U780" t="str">
        <f t="shared" si="75"/>
        <v>Valid</v>
      </c>
      <c r="V780" t="str">
        <f t="shared" si="76"/>
        <v>Valid</v>
      </c>
      <c r="W780" t="str">
        <f t="shared" si="77"/>
        <v>Outlier</v>
      </c>
    </row>
    <row r="781" spans="1:23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  <c r="Q781" t="str">
        <f>IF(COUNTIF($A$2:A781,A781)&gt;1,"Duplicate","Unique")</f>
        <v>Unique</v>
      </c>
      <c r="R781" t="str">
        <f t="shared" si="72"/>
        <v>Valid</v>
      </c>
      <c r="S781" t="str">
        <f t="shared" si="73"/>
        <v>Valid</v>
      </c>
      <c r="T781" t="str">
        <f t="shared" si="74"/>
        <v>Valid</v>
      </c>
      <c r="U781" t="str">
        <f t="shared" si="75"/>
        <v>Valid</v>
      </c>
      <c r="V781" t="str">
        <f t="shared" si="76"/>
        <v>Valid</v>
      </c>
      <c r="W781" t="str">
        <f t="shared" si="77"/>
        <v>Outlier</v>
      </c>
    </row>
    <row r="782" spans="1:23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  <c r="Q782" t="str">
        <f>IF(COUNTIF($A$2:A782,A782)&gt;1,"Duplicate","Unique")</f>
        <v>Unique</v>
      </c>
      <c r="R782" t="str">
        <f t="shared" si="72"/>
        <v>Valid</v>
      </c>
      <c r="S782" t="str">
        <f t="shared" si="73"/>
        <v>Valid</v>
      </c>
      <c r="T782" t="str">
        <f t="shared" si="74"/>
        <v>Valid</v>
      </c>
      <c r="U782" t="str">
        <f t="shared" si="75"/>
        <v>Valid</v>
      </c>
      <c r="V782" t="str">
        <f t="shared" si="76"/>
        <v>Valid</v>
      </c>
      <c r="W782" t="str">
        <f t="shared" si="77"/>
        <v>Outlier</v>
      </c>
    </row>
    <row r="783" spans="1:23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  <c r="Q783" t="str">
        <f>IF(COUNTIF($A$2:A783,A783)&gt;1,"Duplicate","Unique")</f>
        <v>Unique</v>
      </c>
      <c r="R783" t="str">
        <f t="shared" si="72"/>
        <v>Valid</v>
      </c>
      <c r="S783" t="str">
        <f t="shared" si="73"/>
        <v>Valid</v>
      </c>
      <c r="T783" t="str">
        <f t="shared" si="74"/>
        <v>Valid</v>
      </c>
      <c r="U783" t="str">
        <f t="shared" si="75"/>
        <v>Valid</v>
      </c>
      <c r="V783" t="str">
        <f t="shared" si="76"/>
        <v>Valid</v>
      </c>
      <c r="W783" t="str">
        <f t="shared" si="77"/>
        <v>Outlier</v>
      </c>
    </row>
    <row r="784" spans="1:23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  <c r="Q784" t="str">
        <f>IF(COUNTIF($A$2:A784,A784)&gt;1,"Duplicate","Unique")</f>
        <v>Unique</v>
      </c>
      <c r="R784" t="str">
        <f t="shared" si="72"/>
        <v>Valid</v>
      </c>
      <c r="S784" t="str">
        <f t="shared" si="73"/>
        <v>Valid</v>
      </c>
      <c r="T784" t="str">
        <f t="shared" si="74"/>
        <v>Valid</v>
      </c>
      <c r="U784" t="str">
        <f t="shared" si="75"/>
        <v>Valid</v>
      </c>
      <c r="V784" t="str">
        <f t="shared" si="76"/>
        <v>Valid</v>
      </c>
      <c r="W784" t="str">
        <f t="shared" si="77"/>
        <v>Outlier</v>
      </c>
    </row>
    <row r="785" spans="1:23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  <c r="Q785" t="str">
        <f>IF(COUNTIF($A$2:A785,A785)&gt;1,"Duplicate","Unique")</f>
        <v>Unique</v>
      </c>
      <c r="R785" t="str">
        <f t="shared" si="72"/>
        <v>Valid</v>
      </c>
      <c r="S785" t="str">
        <f t="shared" si="73"/>
        <v>Valid</v>
      </c>
      <c r="T785" t="str">
        <f t="shared" si="74"/>
        <v>Valid</v>
      </c>
      <c r="U785" t="str">
        <f t="shared" si="75"/>
        <v>Valid</v>
      </c>
      <c r="V785" t="str">
        <f t="shared" si="76"/>
        <v>Valid</v>
      </c>
      <c r="W785" t="str">
        <f t="shared" si="77"/>
        <v>Outlier</v>
      </c>
    </row>
    <row r="786" spans="1:23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  <c r="Q786" t="str">
        <f>IF(COUNTIF($A$2:A786,A786)&gt;1,"Duplicate","Unique")</f>
        <v>Unique</v>
      </c>
      <c r="R786" t="str">
        <f t="shared" si="72"/>
        <v>Valid</v>
      </c>
      <c r="S786" t="str">
        <f t="shared" si="73"/>
        <v>Valid</v>
      </c>
      <c r="T786" t="str">
        <f t="shared" si="74"/>
        <v>Valid</v>
      </c>
      <c r="U786" t="str">
        <f t="shared" si="75"/>
        <v>Valid</v>
      </c>
      <c r="V786" t="str">
        <f t="shared" si="76"/>
        <v>Valid</v>
      </c>
      <c r="W786" t="str">
        <f t="shared" si="77"/>
        <v>Outlier</v>
      </c>
    </row>
    <row r="787" spans="1:23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  <c r="Q787" t="str">
        <f>IF(COUNTIF($A$2:A787,A787)&gt;1,"Duplicate","Unique")</f>
        <v>Unique</v>
      </c>
      <c r="R787" t="str">
        <f t="shared" si="72"/>
        <v>Valid</v>
      </c>
      <c r="S787" t="str">
        <f t="shared" si="73"/>
        <v>Valid</v>
      </c>
      <c r="T787" t="str">
        <f t="shared" si="74"/>
        <v>Valid</v>
      </c>
      <c r="U787" t="str">
        <f t="shared" si="75"/>
        <v>Valid</v>
      </c>
      <c r="V787" t="str">
        <f t="shared" si="76"/>
        <v>Valid</v>
      </c>
      <c r="W787" t="str">
        <f t="shared" si="77"/>
        <v>Outlier</v>
      </c>
    </row>
    <row r="788" spans="1:23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  <c r="Q788" t="str">
        <f>IF(COUNTIF($A$2:A788,A788)&gt;1,"Duplicate","Unique")</f>
        <v>Unique</v>
      </c>
      <c r="R788" t="str">
        <f t="shared" si="72"/>
        <v>Valid</v>
      </c>
      <c r="S788" t="str">
        <f t="shared" si="73"/>
        <v>Valid</v>
      </c>
      <c r="T788" t="str">
        <f t="shared" si="74"/>
        <v>Valid</v>
      </c>
      <c r="U788" t="str">
        <f t="shared" si="75"/>
        <v>Valid</v>
      </c>
      <c r="V788" t="str">
        <f t="shared" si="76"/>
        <v>Valid</v>
      </c>
      <c r="W788" t="str">
        <f t="shared" si="77"/>
        <v>Outlier</v>
      </c>
    </row>
    <row r="789" spans="1:23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  <c r="Q789" t="str">
        <f>IF(COUNTIF($A$2:A789,A789)&gt;1,"Duplicate","Unique")</f>
        <v>Unique</v>
      </c>
      <c r="R789" t="str">
        <f t="shared" si="72"/>
        <v>Valid</v>
      </c>
      <c r="S789" t="str">
        <f t="shared" si="73"/>
        <v>Valid</v>
      </c>
      <c r="T789" t="str">
        <f t="shared" si="74"/>
        <v>Valid</v>
      </c>
      <c r="U789" t="str">
        <f t="shared" si="75"/>
        <v>Valid</v>
      </c>
      <c r="V789" t="str">
        <f t="shared" si="76"/>
        <v>Valid</v>
      </c>
      <c r="W789" t="str">
        <f t="shared" si="77"/>
        <v>Outlier</v>
      </c>
    </row>
    <row r="790" spans="1:23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  <c r="Q790" t="str">
        <f>IF(COUNTIF($A$2:A790,A790)&gt;1,"Duplicate","Unique")</f>
        <v>Unique</v>
      </c>
      <c r="R790" t="str">
        <f t="shared" si="72"/>
        <v>Valid</v>
      </c>
      <c r="S790" t="str">
        <f t="shared" si="73"/>
        <v>Valid</v>
      </c>
      <c r="T790" t="str">
        <f t="shared" si="74"/>
        <v>Valid</v>
      </c>
      <c r="U790" t="str">
        <f t="shared" si="75"/>
        <v>Valid</v>
      </c>
      <c r="V790" t="str">
        <f t="shared" si="76"/>
        <v>Valid</v>
      </c>
      <c r="W790" t="str">
        <f t="shared" si="77"/>
        <v>Outlier</v>
      </c>
    </row>
    <row r="791" spans="1:23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  <c r="Q791" t="str">
        <f>IF(COUNTIF($A$2:A791,A791)&gt;1,"Duplicate","Unique")</f>
        <v>Unique</v>
      </c>
      <c r="R791" t="str">
        <f t="shared" si="72"/>
        <v>Valid</v>
      </c>
      <c r="S791" t="str">
        <f t="shared" si="73"/>
        <v>Valid</v>
      </c>
      <c r="T791" t="str">
        <f t="shared" si="74"/>
        <v>Valid</v>
      </c>
      <c r="U791" t="str">
        <f t="shared" si="75"/>
        <v>Valid</v>
      </c>
      <c r="V791" t="str">
        <f t="shared" si="76"/>
        <v>Valid</v>
      </c>
      <c r="W791" t="str">
        <f t="shared" si="77"/>
        <v>Outlier</v>
      </c>
    </row>
    <row r="792" spans="1:23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  <c r="Q792" t="str">
        <f>IF(COUNTIF($A$2:A792,A792)&gt;1,"Duplicate","Unique")</f>
        <v>Unique</v>
      </c>
      <c r="R792" t="str">
        <f t="shared" si="72"/>
        <v>Valid</v>
      </c>
      <c r="S792" t="str">
        <f t="shared" si="73"/>
        <v>Valid</v>
      </c>
      <c r="T792" t="str">
        <f t="shared" si="74"/>
        <v>Valid</v>
      </c>
      <c r="U792" t="str">
        <f t="shared" si="75"/>
        <v>Valid</v>
      </c>
      <c r="V792" t="str">
        <f t="shared" si="76"/>
        <v>Valid</v>
      </c>
      <c r="W792" t="str">
        <f t="shared" si="77"/>
        <v>Outlier</v>
      </c>
    </row>
    <row r="793" spans="1:23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  <c r="Q793" t="str">
        <f>IF(COUNTIF($A$2:A793,A793)&gt;1,"Duplicate","Unique")</f>
        <v>Unique</v>
      </c>
      <c r="R793" t="str">
        <f t="shared" si="72"/>
        <v>Valid</v>
      </c>
      <c r="S793" t="str">
        <f t="shared" si="73"/>
        <v>Valid</v>
      </c>
      <c r="T793" t="str">
        <f t="shared" si="74"/>
        <v>Valid</v>
      </c>
      <c r="U793" t="str">
        <f t="shared" si="75"/>
        <v>Valid</v>
      </c>
      <c r="V793" t="str">
        <f t="shared" si="76"/>
        <v>Valid</v>
      </c>
      <c r="W793" t="str">
        <f t="shared" si="77"/>
        <v>Outlier</v>
      </c>
    </row>
    <row r="794" spans="1:23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  <c r="Q794" t="str">
        <f>IF(COUNTIF($A$2:A794,A794)&gt;1,"Duplicate","Unique")</f>
        <v>Unique</v>
      </c>
      <c r="R794" t="str">
        <f t="shared" si="72"/>
        <v>Valid</v>
      </c>
      <c r="S794" t="str">
        <f t="shared" si="73"/>
        <v>Valid</v>
      </c>
      <c r="T794" t="str">
        <f t="shared" si="74"/>
        <v>Valid</v>
      </c>
      <c r="U794" t="str">
        <f t="shared" si="75"/>
        <v>Valid</v>
      </c>
      <c r="V794" t="str">
        <f t="shared" si="76"/>
        <v>Valid</v>
      </c>
      <c r="W794" t="str">
        <f t="shared" si="77"/>
        <v>Outlier</v>
      </c>
    </row>
    <row r="795" spans="1:23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  <c r="Q795" t="str">
        <f>IF(COUNTIF($A$2:A795,A795)&gt;1,"Duplicate","Unique")</f>
        <v>Unique</v>
      </c>
      <c r="R795" t="str">
        <f t="shared" si="72"/>
        <v>Valid</v>
      </c>
      <c r="S795" t="str">
        <f t="shared" si="73"/>
        <v>Valid</v>
      </c>
      <c r="T795" t="str">
        <f t="shared" si="74"/>
        <v>Valid</v>
      </c>
      <c r="U795" t="str">
        <f t="shared" si="75"/>
        <v>Valid</v>
      </c>
      <c r="V795" t="str">
        <f t="shared" si="76"/>
        <v>Valid</v>
      </c>
      <c r="W795" t="str">
        <f t="shared" si="77"/>
        <v>Outlier</v>
      </c>
    </row>
    <row r="796" spans="1:23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  <c r="Q796" t="str">
        <f>IF(COUNTIF($A$2:A796,A796)&gt;1,"Duplicate","Unique")</f>
        <v>Unique</v>
      </c>
      <c r="R796" t="str">
        <f t="shared" si="72"/>
        <v>Valid</v>
      </c>
      <c r="S796" t="str">
        <f t="shared" si="73"/>
        <v>Valid</v>
      </c>
      <c r="T796" t="str">
        <f t="shared" si="74"/>
        <v>Valid</v>
      </c>
      <c r="U796" t="str">
        <f t="shared" si="75"/>
        <v>Valid</v>
      </c>
      <c r="V796" t="str">
        <f t="shared" si="76"/>
        <v>Valid</v>
      </c>
      <c r="W796" t="str">
        <f t="shared" si="77"/>
        <v>Outlier</v>
      </c>
    </row>
    <row r="797" spans="1:23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  <c r="Q797" t="str">
        <f>IF(COUNTIF($A$2:A797,A797)&gt;1,"Duplicate","Unique")</f>
        <v>Unique</v>
      </c>
      <c r="R797" t="str">
        <f t="shared" si="72"/>
        <v>Valid</v>
      </c>
      <c r="S797" t="str">
        <f t="shared" si="73"/>
        <v>Valid</v>
      </c>
      <c r="T797" t="str">
        <f t="shared" si="74"/>
        <v>Valid</v>
      </c>
      <c r="U797" t="str">
        <f t="shared" si="75"/>
        <v>Valid</v>
      </c>
      <c r="V797" t="str">
        <f t="shared" si="76"/>
        <v>Valid</v>
      </c>
      <c r="W797" t="str">
        <f t="shared" si="77"/>
        <v>Outlier</v>
      </c>
    </row>
    <row r="798" spans="1:23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  <c r="Q798" t="str">
        <f>IF(COUNTIF($A$2:A798,A798)&gt;1,"Duplicate","Unique")</f>
        <v>Unique</v>
      </c>
      <c r="R798" t="str">
        <f t="shared" si="72"/>
        <v>Valid</v>
      </c>
      <c r="S798" t="str">
        <f t="shared" si="73"/>
        <v>Valid</v>
      </c>
      <c r="T798" t="str">
        <f t="shared" si="74"/>
        <v>Valid</v>
      </c>
      <c r="U798" t="str">
        <f t="shared" si="75"/>
        <v>Valid</v>
      </c>
      <c r="V798" t="str">
        <f t="shared" si="76"/>
        <v>Valid</v>
      </c>
      <c r="W798" t="str">
        <f t="shared" si="77"/>
        <v>Outlier</v>
      </c>
    </row>
    <row r="799" spans="1:23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  <c r="Q799" t="str">
        <f>IF(COUNTIF($A$2:A799,A799)&gt;1,"Duplicate","Unique")</f>
        <v>Unique</v>
      </c>
      <c r="R799" t="str">
        <f t="shared" si="72"/>
        <v>Valid</v>
      </c>
      <c r="S799" t="str">
        <f t="shared" si="73"/>
        <v>Valid</v>
      </c>
      <c r="T799" t="str">
        <f t="shared" si="74"/>
        <v>Valid</v>
      </c>
      <c r="U799" t="str">
        <f t="shared" si="75"/>
        <v>Valid</v>
      </c>
      <c r="V799" t="str">
        <f t="shared" si="76"/>
        <v>Valid</v>
      </c>
      <c r="W799" t="str">
        <f t="shared" si="77"/>
        <v>Outlier</v>
      </c>
    </row>
    <row r="800" spans="1:23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  <c r="Q800" t="str">
        <f>IF(COUNTIF($A$2:A800,A800)&gt;1,"Duplicate","Unique")</f>
        <v>Unique</v>
      </c>
      <c r="R800" t="str">
        <f t="shared" si="72"/>
        <v>Valid</v>
      </c>
      <c r="S800" t="str">
        <f t="shared" si="73"/>
        <v>Valid</v>
      </c>
      <c r="T800" t="str">
        <f t="shared" si="74"/>
        <v>Valid</v>
      </c>
      <c r="U800" t="str">
        <f t="shared" si="75"/>
        <v>Valid</v>
      </c>
      <c r="V800" t="str">
        <f t="shared" si="76"/>
        <v>Valid</v>
      </c>
      <c r="W800" t="str">
        <f t="shared" si="77"/>
        <v>Outlier</v>
      </c>
    </row>
    <row r="801" spans="1:23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  <c r="Q801" t="str">
        <f>IF(COUNTIF($A$2:A801,A801)&gt;1,"Duplicate","Unique")</f>
        <v>Unique</v>
      </c>
      <c r="R801" t="str">
        <f t="shared" si="72"/>
        <v>Valid</v>
      </c>
      <c r="S801" t="str">
        <f t="shared" si="73"/>
        <v>Valid</v>
      </c>
      <c r="T801" t="str">
        <f t="shared" si="74"/>
        <v>Valid</v>
      </c>
      <c r="U801" t="str">
        <f t="shared" si="75"/>
        <v>Valid</v>
      </c>
      <c r="V801" t="str">
        <f t="shared" si="76"/>
        <v>Valid</v>
      </c>
      <c r="W801" t="str">
        <f t="shared" si="77"/>
        <v>Outlier</v>
      </c>
    </row>
    <row r="802" spans="1:23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  <c r="Q802" t="str">
        <f>IF(COUNTIF($A$2:A802,A802)&gt;1,"Duplicate","Unique")</f>
        <v>Unique</v>
      </c>
      <c r="R802" t="str">
        <f t="shared" si="72"/>
        <v>Valid</v>
      </c>
      <c r="S802" t="str">
        <f t="shared" si="73"/>
        <v>Valid</v>
      </c>
      <c r="T802" t="str">
        <f t="shared" si="74"/>
        <v>Valid</v>
      </c>
      <c r="U802" t="str">
        <f t="shared" si="75"/>
        <v>Valid</v>
      </c>
      <c r="V802" t="str">
        <f t="shared" si="76"/>
        <v>Valid</v>
      </c>
      <c r="W802" t="str">
        <f t="shared" si="77"/>
        <v>Outlier</v>
      </c>
    </row>
    <row r="803" spans="1:23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  <c r="Q803" t="str">
        <f>IF(COUNTIF($A$2:A803,A803)&gt;1,"Duplicate","Unique")</f>
        <v>Unique</v>
      </c>
      <c r="R803" t="str">
        <f t="shared" si="72"/>
        <v>Valid</v>
      </c>
      <c r="S803" t="str">
        <f t="shared" si="73"/>
        <v>Valid</v>
      </c>
      <c r="T803" t="str">
        <f t="shared" si="74"/>
        <v>Valid</v>
      </c>
      <c r="U803" t="str">
        <f t="shared" si="75"/>
        <v>Valid</v>
      </c>
      <c r="V803" t="str">
        <f t="shared" si="76"/>
        <v>Valid</v>
      </c>
      <c r="W803" t="str">
        <f t="shared" si="77"/>
        <v>Outlier</v>
      </c>
    </row>
    <row r="804" spans="1:23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  <c r="Q804" t="str">
        <f>IF(COUNTIF($A$2:A804,A804)&gt;1,"Duplicate","Unique")</f>
        <v>Unique</v>
      </c>
      <c r="R804" t="str">
        <f t="shared" si="72"/>
        <v>Valid</v>
      </c>
      <c r="S804" t="str">
        <f t="shared" si="73"/>
        <v>Valid</v>
      </c>
      <c r="T804" t="str">
        <f t="shared" si="74"/>
        <v>Valid</v>
      </c>
      <c r="U804" t="str">
        <f t="shared" si="75"/>
        <v>Valid</v>
      </c>
      <c r="V804" t="str">
        <f t="shared" si="76"/>
        <v>Valid</v>
      </c>
      <c r="W804" t="str">
        <f t="shared" si="77"/>
        <v>Outlier</v>
      </c>
    </row>
    <row r="805" spans="1:23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  <c r="Q805" t="str">
        <f>IF(COUNTIF($A$2:A805,A805)&gt;1,"Duplicate","Unique")</f>
        <v>Unique</v>
      </c>
      <c r="R805" t="str">
        <f t="shared" si="72"/>
        <v>Valid</v>
      </c>
      <c r="S805" t="str">
        <f t="shared" si="73"/>
        <v>Valid</v>
      </c>
      <c r="T805" t="str">
        <f t="shared" si="74"/>
        <v>Valid</v>
      </c>
      <c r="U805" t="str">
        <f t="shared" si="75"/>
        <v>Valid</v>
      </c>
      <c r="V805" t="str">
        <f t="shared" si="76"/>
        <v>Valid</v>
      </c>
      <c r="W805" t="str">
        <f t="shared" si="77"/>
        <v>Outlier</v>
      </c>
    </row>
    <row r="806" spans="1:23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  <c r="Q806" t="str">
        <f>IF(COUNTIF($A$2:A806,A806)&gt;1,"Duplicate","Unique")</f>
        <v>Unique</v>
      </c>
      <c r="R806" t="str">
        <f t="shared" si="72"/>
        <v>Valid</v>
      </c>
      <c r="S806" t="str">
        <f t="shared" si="73"/>
        <v>Valid</v>
      </c>
      <c r="T806" t="str">
        <f t="shared" si="74"/>
        <v>Valid</v>
      </c>
      <c r="U806" t="str">
        <f t="shared" si="75"/>
        <v>Valid</v>
      </c>
      <c r="V806" t="str">
        <f t="shared" si="76"/>
        <v>Valid</v>
      </c>
      <c r="W806" t="str">
        <f t="shared" si="77"/>
        <v>Outlier</v>
      </c>
    </row>
    <row r="807" spans="1:23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  <c r="Q807" t="str">
        <f>IF(COUNTIF($A$2:A807,A807)&gt;1,"Duplicate","Unique")</f>
        <v>Unique</v>
      </c>
      <c r="R807" t="str">
        <f t="shared" si="72"/>
        <v>Valid</v>
      </c>
      <c r="S807" t="str">
        <f t="shared" si="73"/>
        <v>Valid</v>
      </c>
      <c r="T807" t="str">
        <f t="shared" si="74"/>
        <v>Valid</v>
      </c>
      <c r="U807" t="str">
        <f t="shared" si="75"/>
        <v>Valid</v>
      </c>
      <c r="V807" t="str">
        <f t="shared" si="76"/>
        <v>Valid</v>
      </c>
      <c r="W807" t="str">
        <f t="shared" si="77"/>
        <v>Outlier</v>
      </c>
    </row>
    <row r="808" spans="1:23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  <c r="Q808" t="str">
        <f>IF(COUNTIF($A$2:A808,A808)&gt;1,"Duplicate","Unique")</f>
        <v>Unique</v>
      </c>
      <c r="R808" t="str">
        <f t="shared" si="72"/>
        <v>Valid</v>
      </c>
      <c r="S808" t="str">
        <f t="shared" si="73"/>
        <v>Valid</v>
      </c>
      <c r="T808" t="str">
        <f t="shared" si="74"/>
        <v>Valid</v>
      </c>
      <c r="U808" t="str">
        <f t="shared" si="75"/>
        <v>Valid</v>
      </c>
      <c r="V808" t="str">
        <f t="shared" si="76"/>
        <v>Valid</v>
      </c>
      <c r="W808" t="str">
        <f t="shared" si="77"/>
        <v>Outlier</v>
      </c>
    </row>
    <row r="809" spans="1:23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  <c r="Q809" t="str">
        <f>IF(COUNTIF($A$2:A809,A809)&gt;1,"Duplicate","Unique")</f>
        <v>Unique</v>
      </c>
      <c r="R809" t="str">
        <f t="shared" si="72"/>
        <v>Valid</v>
      </c>
      <c r="S809" t="str">
        <f t="shared" si="73"/>
        <v>Valid</v>
      </c>
      <c r="T809" t="str">
        <f t="shared" si="74"/>
        <v>Valid</v>
      </c>
      <c r="U809" t="str">
        <f t="shared" si="75"/>
        <v>Valid</v>
      </c>
      <c r="V809" t="str">
        <f t="shared" si="76"/>
        <v>Valid</v>
      </c>
      <c r="W809" t="str">
        <f t="shared" si="77"/>
        <v>Outlier</v>
      </c>
    </row>
    <row r="810" spans="1:23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  <c r="Q810" t="str">
        <f>IF(COUNTIF($A$2:A810,A810)&gt;1,"Duplicate","Unique")</f>
        <v>Unique</v>
      </c>
      <c r="R810" t="str">
        <f t="shared" si="72"/>
        <v>Valid</v>
      </c>
      <c r="S810" t="str">
        <f t="shared" si="73"/>
        <v>Valid</v>
      </c>
      <c r="T810" t="str">
        <f t="shared" si="74"/>
        <v>Valid</v>
      </c>
      <c r="U810" t="str">
        <f t="shared" si="75"/>
        <v>Valid</v>
      </c>
      <c r="V810" t="str">
        <f t="shared" si="76"/>
        <v>Valid</v>
      </c>
      <c r="W810" t="str">
        <f t="shared" si="77"/>
        <v>Outlier</v>
      </c>
    </row>
    <row r="811" spans="1:23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  <c r="Q811" t="str">
        <f>IF(COUNTIF($A$2:A811,A811)&gt;1,"Duplicate","Unique")</f>
        <v>Unique</v>
      </c>
      <c r="R811" t="str">
        <f t="shared" si="72"/>
        <v>Valid</v>
      </c>
      <c r="S811" t="str">
        <f t="shared" si="73"/>
        <v>Valid</v>
      </c>
      <c r="T811" t="str">
        <f t="shared" si="74"/>
        <v>Valid</v>
      </c>
      <c r="U811" t="str">
        <f t="shared" si="75"/>
        <v>Valid</v>
      </c>
      <c r="V811" t="str">
        <f t="shared" si="76"/>
        <v>Valid</v>
      </c>
      <c r="W811" t="str">
        <f t="shared" si="77"/>
        <v>Outlier</v>
      </c>
    </row>
    <row r="812" spans="1:23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  <c r="Q812" t="str">
        <f>IF(COUNTIF($A$2:A812,A812)&gt;1,"Duplicate","Unique")</f>
        <v>Unique</v>
      </c>
      <c r="R812" t="str">
        <f t="shared" si="72"/>
        <v>Valid</v>
      </c>
      <c r="S812" t="str">
        <f t="shared" si="73"/>
        <v>Valid</v>
      </c>
      <c r="T812" t="str">
        <f t="shared" si="74"/>
        <v>Valid</v>
      </c>
      <c r="U812" t="str">
        <f t="shared" si="75"/>
        <v>Valid</v>
      </c>
      <c r="V812" t="str">
        <f t="shared" si="76"/>
        <v>Valid</v>
      </c>
      <c r="W812" t="str">
        <f t="shared" si="77"/>
        <v>Outlier</v>
      </c>
    </row>
    <row r="813" spans="1:23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  <c r="Q813" t="str">
        <f>IF(COUNTIF($A$2:A813,A813)&gt;1,"Duplicate","Unique")</f>
        <v>Unique</v>
      </c>
      <c r="R813" t="str">
        <f t="shared" si="72"/>
        <v>Valid</v>
      </c>
      <c r="S813" t="str">
        <f t="shared" si="73"/>
        <v>Valid</v>
      </c>
      <c r="T813" t="str">
        <f t="shared" si="74"/>
        <v>Valid</v>
      </c>
      <c r="U813" t="str">
        <f t="shared" si="75"/>
        <v>Valid</v>
      </c>
      <c r="V813" t="str">
        <f t="shared" si="76"/>
        <v>Valid</v>
      </c>
      <c r="W813" t="str">
        <f t="shared" si="77"/>
        <v>Outlier</v>
      </c>
    </row>
    <row r="814" spans="1:23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  <c r="Q814" t="str">
        <f>IF(COUNTIF($A$2:A814,A814)&gt;1,"Duplicate","Unique")</f>
        <v>Unique</v>
      </c>
      <c r="R814" t="str">
        <f t="shared" si="72"/>
        <v>Valid</v>
      </c>
      <c r="S814" t="str">
        <f t="shared" si="73"/>
        <v>Valid</v>
      </c>
      <c r="T814" t="str">
        <f t="shared" si="74"/>
        <v>Valid</v>
      </c>
      <c r="U814" t="str">
        <f t="shared" si="75"/>
        <v>Valid</v>
      </c>
      <c r="V814" t="str">
        <f t="shared" si="76"/>
        <v>Valid</v>
      </c>
      <c r="W814" t="str">
        <f t="shared" si="77"/>
        <v>Outlier</v>
      </c>
    </row>
    <row r="815" spans="1:23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  <c r="Q815" t="str">
        <f>IF(COUNTIF($A$2:A815,A815)&gt;1,"Duplicate","Unique")</f>
        <v>Unique</v>
      </c>
      <c r="R815" t="str">
        <f t="shared" si="72"/>
        <v>Valid</v>
      </c>
      <c r="S815" t="str">
        <f t="shared" si="73"/>
        <v>Valid</v>
      </c>
      <c r="T815" t="str">
        <f t="shared" si="74"/>
        <v>Valid</v>
      </c>
      <c r="U815" t="str">
        <f t="shared" si="75"/>
        <v>Valid</v>
      </c>
      <c r="V815" t="str">
        <f t="shared" si="76"/>
        <v>Valid</v>
      </c>
      <c r="W815" t="str">
        <f t="shared" si="77"/>
        <v>Outlier</v>
      </c>
    </row>
    <row r="816" spans="1:23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  <c r="Q816" t="str">
        <f>IF(COUNTIF($A$2:A816,A816)&gt;1,"Duplicate","Unique")</f>
        <v>Unique</v>
      </c>
      <c r="R816" t="str">
        <f t="shared" si="72"/>
        <v>Valid</v>
      </c>
      <c r="S816" t="str">
        <f t="shared" si="73"/>
        <v>Valid</v>
      </c>
      <c r="T816" t="str">
        <f t="shared" si="74"/>
        <v>Valid</v>
      </c>
      <c r="U816" t="str">
        <f t="shared" si="75"/>
        <v>Valid</v>
      </c>
      <c r="V816" t="str">
        <f t="shared" si="76"/>
        <v>Valid</v>
      </c>
      <c r="W816" t="str">
        <f t="shared" si="77"/>
        <v>Outlier</v>
      </c>
    </row>
    <row r="817" spans="1:23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  <c r="Q817" t="str">
        <f>IF(COUNTIF($A$2:A817,A817)&gt;1,"Duplicate","Unique")</f>
        <v>Unique</v>
      </c>
      <c r="R817" t="str">
        <f t="shared" si="72"/>
        <v>Valid</v>
      </c>
      <c r="S817" t="str">
        <f t="shared" si="73"/>
        <v>Valid</v>
      </c>
      <c r="T817" t="str">
        <f t="shared" si="74"/>
        <v>Valid</v>
      </c>
      <c r="U817" t="str">
        <f t="shared" si="75"/>
        <v>Valid</v>
      </c>
      <c r="V817" t="str">
        <f t="shared" si="76"/>
        <v>Valid</v>
      </c>
      <c r="W817" t="str">
        <f t="shared" si="77"/>
        <v>Outlier</v>
      </c>
    </row>
    <row r="818" spans="1:23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  <c r="Q818" t="str">
        <f>IF(COUNTIF($A$2:A818,A818)&gt;1,"Duplicate","Unique")</f>
        <v>Unique</v>
      </c>
      <c r="R818" t="str">
        <f t="shared" si="72"/>
        <v>Valid</v>
      </c>
      <c r="S818" t="str">
        <f t="shared" si="73"/>
        <v>Valid</v>
      </c>
      <c r="T818" t="str">
        <f t="shared" si="74"/>
        <v>Valid</v>
      </c>
      <c r="U818" t="str">
        <f t="shared" si="75"/>
        <v>Valid</v>
      </c>
      <c r="V818" t="str">
        <f t="shared" si="76"/>
        <v>Valid</v>
      </c>
      <c r="W818" t="str">
        <f t="shared" si="77"/>
        <v>Outlier</v>
      </c>
    </row>
    <row r="819" spans="1:23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  <c r="Q819" t="str">
        <f>IF(COUNTIF($A$2:A819,A819)&gt;1,"Duplicate","Unique")</f>
        <v>Unique</v>
      </c>
      <c r="R819" t="str">
        <f t="shared" si="72"/>
        <v>Valid</v>
      </c>
      <c r="S819" t="str">
        <f t="shared" si="73"/>
        <v>Valid</v>
      </c>
      <c r="T819" t="str">
        <f t="shared" si="74"/>
        <v>Valid</v>
      </c>
      <c r="U819" t="str">
        <f t="shared" si="75"/>
        <v>Valid</v>
      </c>
      <c r="V819" t="str">
        <f t="shared" si="76"/>
        <v>Valid</v>
      </c>
      <c r="W819" t="str">
        <f t="shared" si="77"/>
        <v>Outlier</v>
      </c>
    </row>
    <row r="820" spans="1:23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  <c r="Q820" t="str">
        <f>IF(COUNTIF($A$2:A820,A820)&gt;1,"Duplicate","Unique")</f>
        <v>Unique</v>
      </c>
      <c r="R820" t="str">
        <f t="shared" si="72"/>
        <v>Valid</v>
      </c>
      <c r="S820" t="str">
        <f t="shared" si="73"/>
        <v>Valid</v>
      </c>
      <c r="T820" t="str">
        <f t="shared" si="74"/>
        <v>Valid</v>
      </c>
      <c r="U820" t="str">
        <f t="shared" si="75"/>
        <v>Valid</v>
      </c>
      <c r="V820" t="str">
        <f t="shared" si="76"/>
        <v>Valid</v>
      </c>
      <c r="W820" t="str">
        <f t="shared" si="77"/>
        <v>Outlier</v>
      </c>
    </row>
    <row r="821" spans="1:23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  <c r="Q821" t="str">
        <f>IF(COUNTIF($A$2:A821,A821)&gt;1,"Duplicate","Unique")</f>
        <v>Unique</v>
      </c>
      <c r="R821" t="str">
        <f t="shared" si="72"/>
        <v>Valid</v>
      </c>
      <c r="S821" t="str">
        <f t="shared" si="73"/>
        <v>Valid</v>
      </c>
      <c r="T821" t="str">
        <f t="shared" si="74"/>
        <v>Valid</v>
      </c>
      <c r="U821" t="str">
        <f t="shared" si="75"/>
        <v>Valid</v>
      </c>
      <c r="V821" t="str">
        <f t="shared" si="76"/>
        <v>Valid</v>
      </c>
      <c r="W821" t="str">
        <f t="shared" si="77"/>
        <v>Outlier</v>
      </c>
    </row>
    <row r="822" spans="1:23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  <c r="Q822" t="str">
        <f>IF(COUNTIF($A$2:A822,A822)&gt;1,"Duplicate","Unique")</f>
        <v>Unique</v>
      </c>
      <c r="R822" t="str">
        <f t="shared" si="72"/>
        <v>Valid</v>
      </c>
      <c r="S822" t="str">
        <f t="shared" si="73"/>
        <v>Valid</v>
      </c>
      <c r="T822" t="str">
        <f t="shared" si="74"/>
        <v>Valid</v>
      </c>
      <c r="U822" t="str">
        <f t="shared" si="75"/>
        <v>Valid</v>
      </c>
      <c r="V822" t="str">
        <f t="shared" si="76"/>
        <v>Valid</v>
      </c>
      <c r="W822" t="str">
        <f t="shared" si="77"/>
        <v>Outlier</v>
      </c>
    </row>
    <row r="823" spans="1:23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  <c r="Q823" t="str">
        <f>IF(COUNTIF($A$2:A823,A823)&gt;1,"Duplicate","Unique")</f>
        <v>Unique</v>
      </c>
      <c r="R823" t="str">
        <f t="shared" si="72"/>
        <v>Valid</v>
      </c>
      <c r="S823" t="str">
        <f t="shared" si="73"/>
        <v>Valid</v>
      </c>
      <c r="T823" t="str">
        <f t="shared" si="74"/>
        <v>Valid</v>
      </c>
      <c r="U823" t="str">
        <f t="shared" si="75"/>
        <v>Valid</v>
      </c>
      <c r="V823" t="str">
        <f t="shared" si="76"/>
        <v>Valid</v>
      </c>
      <c r="W823" t="str">
        <f t="shared" si="77"/>
        <v>Outlier</v>
      </c>
    </row>
    <row r="824" spans="1:23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  <c r="Q824" t="str">
        <f>IF(COUNTIF($A$2:A824,A824)&gt;1,"Duplicate","Unique")</f>
        <v>Unique</v>
      </c>
      <c r="R824" t="str">
        <f t="shared" si="72"/>
        <v>Valid</v>
      </c>
      <c r="S824" t="str">
        <f t="shared" si="73"/>
        <v>Valid</v>
      </c>
      <c r="T824" t="str">
        <f t="shared" si="74"/>
        <v>Valid</v>
      </c>
      <c r="U824" t="str">
        <f t="shared" si="75"/>
        <v>Valid</v>
      </c>
      <c r="V824" t="str">
        <f t="shared" si="76"/>
        <v>Valid</v>
      </c>
      <c r="W824" t="str">
        <f t="shared" si="77"/>
        <v>Outlier</v>
      </c>
    </row>
    <row r="825" spans="1:23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  <c r="Q825" t="str">
        <f>IF(COUNTIF($A$2:A825,A825)&gt;1,"Duplicate","Unique")</f>
        <v>Unique</v>
      </c>
      <c r="R825" t="str">
        <f t="shared" si="72"/>
        <v>Valid</v>
      </c>
      <c r="S825" t="str">
        <f t="shared" si="73"/>
        <v>Valid</v>
      </c>
      <c r="T825" t="str">
        <f t="shared" si="74"/>
        <v>Valid</v>
      </c>
      <c r="U825" t="str">
        <f t="shared" si="75"/>
        <v>Valid</v>
      </c>
      <c r="V825" t="str">
        <f t="shared" si="76"/>
        <v>Valid</v>
      </c>
      <c r="W825" t="str">
        <f t="shared" si="77"/>
        <v>Outlier</v>
      </c>
    </row>
    <row r="826" spans="1:23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  <c r="Q826" t="str">
        <f>IF(COUNTIF($A$2:A826,A826)&gt;1,"Duplicate","Unique")</f>
        <v>Unique</v>
      </c>
      <c r="R826" t="str">
        <f t="shared" si="72"/>
        <v>Valid</v>
      </c>
      <c r="S826" t="str">
        <f t="shared" si="73"/>
        <v>Valid</v>
      </c>
      <c r="T826" t="str">
        <f t="shared" si="74"/>
        <v>Valid</v>
      </c>
      <c r="U826" t="str">
        <f t="shared" si="75"/>
        <v>Valid</v>
      </c>
      <c r="V826" t="str">
        <f t="shared" si="76"/>
        <v>Valid</v>
      </c>
      <c r="W826" t="str">
        <f t="shared" si="77"/>
        <v>Outlier</v>
      </c>
    </row>
    <row r="827" spans="1:23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  <c r="Q827" t="str">
        <f>IF(COUNTIF($A$2:A827,A827)&gt;1,"Duplicate","Unique")</f>
        <v>Unique</v>
      </c>
      <c r="R827" t="str">
        <f t="shared" si="72"/>
        <v>Valid</v>
      </c>
      <c r="S827" t="str">
        <f t="shared" si="73"/>
        <v>Valid</v>
      </c>
      <c r="T827" t="str">
        <f t="shared" si="74"/>
        <v>Valid</v>
      </c>
      <c r="U827" t="str">
        <f t="shared" si="75"/>
        <v>Valid</v>
      </c>
      <c r="V827" t="str">
        <f t="shared" si="76"/>
        <v>Valid</v>
      </c>
      <c r="W827" t="str">
        <f t="shared" si="77"/>
        <v>Outlier</v>
      </c>
    </row>
    <row r="828" spans="1:23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  <c r="Q828" t="str">
        <f>IF(COUNTIF($A$2:A828,A828)&gt;1,"Duplicate","Unique")</f>
        <v>Unique</v>
      </c>
      <c r="R828" t="str">
        <f t="shared" si="72"/>
        <v>Valid</v>
      </c>
      <c r="S828" t="str">
        <f t="shared" si="73"/>
        <v>Valid</v>
      </c>
      <c r="T828" t="str">
        <f t="shared" si="74"/>
        <v>Valid</v>
      </c>
      <c r="U828" t="str">
        <f t="shared" si="75"/>
        <v>Valid</v>
      </c>
      <c r="V828" t="str">
        <f t="shared" si="76"/>
        <v>Valid</v>
      </c>
      <c r="W828" t="str">
        <f t="shared" si="77"/>
        <v>Outlier</v>
      </c>
    </row>
    <row r="829" spans="1:23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  <c r="Q829" t="str">
        <f>IF(COUNTIF($A$2:A829,A829)&gt;1,"Duplicate","Unique")</f>
        <v>Unique</v>
      </c>
      <c r="R829" t="str">
        <f t="shared" si="72"/>
        <v>Valid</v>
      </c>
      <c r="S829" t="str">
        <f t="shared" si="73"/>
        <v>Valid</v>
      </c>
      <c r="T829" t="str">
        <f t="shared" si="74"/>
        <v>Valid</v>
      </c>
      <c r="U829" t="str">
        <f t="shared" si="75"/>
        <v>Valid</v>
      </c>
      <c r="V829" t="str">
        <f t="shared" si="76"/>
        <v>Valid</v>
      </c>
      <c r="W829" t="str">
        <f t="shared" si="77"/>
        <v>Outlier</v>
      </c>
    </row>
    <row r="830" spans="1:23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  <c r="Q830" t="str">
        <f>IF(COUNTIF($A$2:A830,A830)&gt;1,"Duplicate","Unique")</f>
        <v>Unique</v>
      </c>
      <c r="R830" t="str">
        <f t="shared" si="72"/>
        <v>Valid</v>
      </c>
      <c r="S830" t="str">
        <f t="shared" si="73"/>
        <v>Valid</v>
      </c>
      <c r="T830" t="str">
        <f t="shared" si="74"/>
        <v>Valid</v>
      </c>
      <c r="U830" t="str">
        <f t="shared" si="75"/>
        <v>Valid</v>
      </c>
      <c r="V830" t="str">
        <f t="shared" si="76"/>
        <v>Valid</v>
      </c>
      <c r="W830" t="str">
        <f t="shared" si="77"/>
        <v>Outlier</v>
      </c>
    </row>
    <row r="831" spans="1:23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  <c r="Q831" t="str">
        <f>IF(COUNTIF($A$2:A831,A831)&gt;1,"Duplicate","Unique")</f>
        <v>Unique</v>
      </c>
      <c r="R831" t="str">
        <f t="shared" si="72"/>
        <v>Valid</v>
      </c>
      <c r="S831" t="str">
        <f t="shared" si="73"/>
        <v>Valid</v>
      </c>
      <c r="T831" t="str">
        <f t="shared" si="74"/>
        <v>Valid</v>
      </c>
      <c r="U831" t="str">
        <f t="shared" si="75"/>
        <v>Valid</v>
      </c>
      <c r="V831" t="str">
        <f t="shared" si="76"/>
        <v>Valid</v>
      </c>
      <c r="W831" t="str">
        <f t="shared" si="77"/>
        <v>Outlier</v>
      </c>
    </row>
    <row r="832" spans="1:23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  <c r="Q832" t="str">
        <f>IF(COUNTIF($A$2:A832,A832)&gt;1,"Duplicate","Unique")</f>
        <v>Unique</v>
      </c>
      <c r="R832" t="str">
        <f t="shared" si="72"/>
        <v>Valid</v>
      </c>
      <c r="S832" t="str">
        <f t="shared" si="73"/>
        <v>Valid</v>
      </c>
      <c r="T832" t="str">
        <f t="shared" si="74"/>
        <v>Valid</v>
      </c>
      <c r="U832" t="str">
        <f t="shared" si="75"/>
        <v>Valid</v>
      </c>
      <c r="V832" t="str">
        <f t="shared" si="76"/>
        <v>Valid</v>
      </c>
      <c r="W832" t="str">
        <f t="shared" si="77"/>
        <v>Outlier</v>
      </c>
    </row>
    <row r="833" spans="1:23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  <c r="Q833" t="str">
        <f>IF(COUNTIF($A$2:A833,A833)&gt;1,"Duplicate","Unique")</f>
        <v>Unique</v>
      </c>
      <c r="R833" t="str">
        <f t="shared" si="72"/>
        <v>Valid</v>
      </c>
      <c r="S833" t="str">
        <f t="shared" si="73"/>
        <v>Valid</v>
      </c>
      <c r="T833" t="str">
        <f t="shared" si="74"/>
        <v>Valid</v>
      </c>
      <c r="U833" t="str">
        <f t="shared" si="75"/>
        <v>Valid</v>
      </c>
      <c r="V833" t="str">
        <f t="shared" si="76"/>
        <v>Valid</v>
      </c>
      <c r="W833" t="str">
        <f t="shared" si="77"/>
        <v>Outlier</v>
      </c>
    </row>
    <row r="834" spans="1:23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  <c r="Q834" t="str">
        <f>IF(COUNTIF($A$2:A834,A834)&gt;1,"Duplicate","Unique")</f>
        <v>Unique</v>
      </c>
      <c r="R834" t="str">
        <f t="shared" si="72"/>
        <v>Valid</v>
      </c>
      <c r="S834" t="str">
        <f t="shared" si="73"/>
        <v>Valid</v>
      </c>
      <c r="T834" t="str">
        <f t="shared" si="74"/>
        <v>Valid</v>
      </c>
      <c r="U834" t="str">
        <f t="shared" si="75"/>
        <v>Valid</v>
      </c>
      <c r="V834" t="str">
        <f t="shared" si="76"/>
        <v>Valid</v>
      </c>
      <c r="W834" t="str">
        <f t="shared" si="77"/>
        <v>Outlier</v>
      </c>
    </row>
    <row r="835" spans="1:23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  <c r="Q835" t="str">
        <f>IF(COUNTIF($A$2:A835,A835)&gt;1,"Duplicate","Unique")</f>
        <v>Unique</v>
      </c>
      <c r="R835" t="str">
        <f t="shared" ref="R835:R898" si="78">IF(OR(H835=0,H835=1),"Valid","Invalid")</f>
        <v>Valid</v>
      </c>
      <c r="S835" t="str">
        <f t="shared" ref="S835:S898" si="79">IF(OR(I835=0,I835=1),"Valid","Invalid")</f>
        <v>Valid</v>
      </c>
      <c r="T835" t="str">
        <f t="shared" ref="T835:T898" si="80">IF(OR(J835=0,J835=1),"Valid","Invalid")</f>
        <v>Valid</v>
      </c>
      <c r="U835" t="str">
        <f t="shared" ref="U835:U898" si="81">IF(OR(K835=0,K835=1),"Valid","Invalid")</f>
        <v>Valid</v>
      </c>
      <c r="V835" t="str">
        <f t="shared" ref="V835:V898" si="82">IF(OR(N835=0,N835=1),"Valid","Invalid")</f>
        <v>Valid</v>
      </c>
      <c r="W835" t="str">
        <f t="shared" ref="W835:W898" si="83">IF(OR(L835&lt;$B$23,L835&gt;$B$24),"Outlier","Normal")</f>
        <v>Outlier</v>
      </c>
    </row>
    <row r="836" spans="1:23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  <c r="Q836" t="str">
        <f>IF(COUNTIF($A$2:A836,A836)&gt;1,"Duplicate","Unique")</f>
        <v>Unique</v>
      </c>
      <c r="R836" t="str">
        <f t="shared" si="78"/>
        <v>Valid</v>
      </c>
      <c r="S836" t="str">
        <f t="shared" si="79"/>
        <v>Valid</v>
      </c>
      <c r="T836" t="str">
        <f t="shared" si="80"/>
        <v>Valid</v>
      </c>
      <c r="U836" t="str">
        <f t="shared" si="81"/>
        <v>Valid</v>
      </c>
      <c r="V836" t="str">
        <f t="shared" si="82"/>
        <v>Valid</v>
      </c>
      <c r="W836" t="str">
        <f t="shared" si="83"/>
        <v>Outlier</v>
      </c>
    </row>
    <row r="837" spans="1:23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  <c r="Q837" t="str">
        <f>IF(COUNTIF($A$2:A837,A837)&gt;1,"Duplicate","Unique")</f>
        <v>Unique</v>
      </c>
      <c r="R837" t="str">
        <f t="shared" si="78"/>
        <v>Valid</v>
      </c>
      <c r="S837" t="str">
        <f t="shared" si="79"/>
        <v>Valid</v>
      </c>
      <c r="T837" t="str">
        <f t="shared" si="80"/>
        <v>Valid</v>
      </c>
      <c r="U837" t="str">
        <f t="shared" si="81"/>
        <v>Valid</v>
      </c>
      <c r="V837" t="str">
        <f t="shared" si="82"/>
        <v>Valid</v>
      </c>
      <c r="W837" t="str">
        <f t="shared" si="83"/>
        <v>Outlier</v>
      </c>
    </row>
    <row r="838" spans="1:23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  <c r="Q838" t="str">
        <f>IF(COUNTIF($A$2:A838,A838)&gt;1,"Duplicate","Unique")</f>
        <v>Unique</v>
      </c>
      <c r="R838" t="str">
        <f t="shared" si="78"/>
        <v>Valid</v>
      </c>
      <c r="S838" t="str">
        <f t="shared" si="79"/>
        <v>Valid</v>
      </c>
      <c r="T838" t="str">
        <f t="shared" si="80"/>
        <v>Valid</v>
      </c>
      <c r="U838" t="str">
        <f t="shared" si="81"/>
        <v>Valid</v>
      </c>
      <c r="V838" t="str">
        <f t="shared" si="82"/>
        <v>Valid</v>
      </c>
      <c r="W838" t="str">
        <f t="shared" si="83"/>
        <v>Outlier</v>
      </c>
    </row>
    <row r="839" spans="1:23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  <c r="Q839" t="str">
        <f>IF(COUNTIF($A$2:A839,A839)&gt;1,"Duplicate","Unique")</f>
        <v>Unique</v>
      </c>
      <c r="R839" t="str">
        <f t="shared" si="78"/>
        <v>Valid</v>
      </c>
      <c r="S839" t="str">
        <f t="shared" si="79"/>
        <v>Valid</v>
      </c>
      <c r="T839" t="str">
        <f t="shared" si="80"/>
        <v>Valid</v>
      </c>
      <c r="U839" t="str">
        <f t="shared" si="81"/>
        <v>Valid</v>
      </c>
      <c r="V839" t="str">
        <f t="shared" si="82"/>
        <v>Valid</v>
      </c>
      <c r="W839" t="str">
        <f t="shared" si="83"/>
        <v>Outlier</v>
      </c>
    </row>
    <row r="840" spans="1:23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  <c r="Q840" t="str">
        <f>IF(COUNTIF($A$2:A840,A840)&gt;1,"Duplicate","Unique")</f>
        <v>Unique</v>
      </c>
      <c r="R840" t="str">
        <f t="shared" si="78"/>
        <v>Valid</v>
      </c>
      <c r="S840" t="str">
        <f t="shared" si="79"/>
        <v>Valid</v>
      </c>
      <c r="T840" t="str">
        <f t="shared" si="80"/>
        <v>Valid</v>
      </c>
      <c r="U840" t="str">
        <f t="shared" si="81"/>
        <v>Valid</v>
      </c>
      <c r="V840" t="str">
        <f t="shared" si="82"/>
        <v>Valid</v>
      </c>
      <c r="W840" t="str">
        <f t="shared" si="83"/>
        <v>Outlier</v>
      </c>
    </row>
    <row r="841" spans="1:23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  <c r="Q841" t="str">
        <f>IF(COUNTIF($A$2:A841,A841)&gt;1,"Duplicate","Unique")</f>
        <v>Unique</v>
      </c>
      <c r="R841" t="str">
        <f t="shared" si="78"/>
        <v>Valid</v>
      </c>
      <c r="S841" t="str">
        <f t="shared" si="79"/>
        <v>Valid</v>
      </c>
      <c r="T841" t="str">
        <f t="shared" si="80"/>
        <v>Valid</v>
      </c>
      <c r="U841" t="str">
        <f t="shared" si="81"/>
        <v>Valid</v>
      </c>
      <c r="V841" t="str">
        <f t="shared" si="82"/>
        <v>Valid</v>
      </c>
      <c r="W841" t="str">
        <f t="shared" si="83"/>
        <v>Outlier</v>
      </c>
    </row>
    <row r="842" spans="1:23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  <c r="Q842" t="str">
        <f>IF(COUNTIF($A$2:A842,A842)&gt;1,"Duplicate","Unique")</f>
        <v>Unique</v>
      </c>
      <c r="R842" t="str">
        <f t="shared" si="78"/>
        <v>Valid</v>
      </c>
      <c r="S842" t="str">
        <f t="shared" si="79"/>
        <v>Valid</v>
      </c>
      <c r="T842" t="str">
        <f t="shared" si="80"/>
        <v>Valid</v>
      </c>
      <c r="U842" t="str">
        <f t="shared" si="81"/>
        <v>Valid</v>
      </c>
      <c r="V842" t="str">
        <f t="shared" si="82"/>
        <v>Valid</v>
      </c>
      <c r="W842" t="str">
        <f t="shared" si="83"/>
        <v>Outlier</v>
      </c>
    </row>
    <row r="843" spans="1:23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  <c r="Q843" t="str">
        <f>IF(COUNTIF($A$2:A843,A843)&gt;1,"Duplicate","Unique")</f>
        <v>Unique</v>
      </c>
      <c r="R843" t="str">
        <f t="shared" si="78"/>
        <v>Valid</v>
      </c>
      <c r="S843" t="str">
        <f t="shared" si="79"/>
        <v>Valid</v>
      </c>
      <c r="T843" t="str">
        <f t="shared" si="80"/>
        <v>Valid</v>
      </c>
      <c r="U843" t="str">
        <f t="shared" si="81"/>
        <v>Valid</v>
      </c>
      <c r="V843" t="str">
        <f t="shared" si="82"/>
        <v>Valid</v>
      </c>
      <c r="W843" t="str">
        <f t="shared" si="83"/>
        <v>Outlier</v>
      </c>
    </row>
    <row r="844" spans="1:23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Q844" t="str">
        <f>IF(COUNTIF($A$2:A844,A844)&gt;1,"Duplicate","Unique")</f>
        <v>Unique</v>
      </c>
      <c r="R844" t="str">
        <f t="shared" si="78"/>
        <v>Valid</v>
      </c>
      <c r="S844" t="str">
        <f t="shared" si="79"/>
        <v>Valid</v>
      </c>
      <c r="T844" t="str">
        <f t="shared" si="80"/>
        <v>Valid</v>
      </c>
      <c r="U844" t="str">
        <f t="shared" si="81"/>
        <v>Valid</v>
      </c>
      <c r="V844" t="str">
        <f t="shared" si="82"/>
        <v>Valid</v>
      </c>
      <c r="W844" t="str">
        <f t="shared" si="83"/>
        <v>Outlier</v>
      </c>
    </row>
    <row r="845" spans="1:23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  <c r="Q845" t="str">
        <f>IF(COUNTIF($A$2:A845,A845)&gt;1,"Duplicate","Unique")</f>
        <v>Unique</v>
      </c>
      <c r="R845" t="str">
        <f t="shared" si="78"/>
        <v>Valid</v>
      </c>
      <c r="S845" t="str">
        <f t="shared" si="79"/>
        <v>Valid</v>
      </c>
      <c r="T845" t="str">
        <f t="shared" si="80"/>
        <v>Valid</v>
      </c>
      <c r="U845" t="str">
        <f t="shared" si="81"/>
        <v>Valid</v>
      </c>
      <c r="V845" t="str">
        <f t="shared" si="82"/>
        <v>Valid</v>
      </c>
      <c r="W845" t="str">
        <f t="shared" si="83"/>
        <v>Outlier</v>
      </c>
    </row>
    <row r="846" spans="1:23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  <c r="Q846" t="str">
        <f>IF(COUNTIF($A$2:A846,A846)&gt;1,"Duplicate","Unique")</f>
        <v>Unique</v>
      </c>
      <c r="R846" t="str">
        <f t="shared" si="78"/>
        <v>Valid</v>
      </c>
      <c r="S846" t="str">
        <f t="shared" si="79"/>
        <v>Valid</v>
      </c>
      <c r="T846" t="str">
        <f t="shared" si="80"/>
        <v>Valid</v>
      </c>
      <c r="U846" t="str">
        <f t="shared" si="81"/>
        <v>Valid</v>
      </c>
      <c r="V846" t="str">
        <f t="shared" si="82"/>
        <v>Valid</v>
      </c>
      <c r="W846" t="str">
        <f t="shared" si="83"/>
        <v>Outlier</v>
      </c>
    </row>
    <row r="847" spans="1:23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  <c r="Q847" t="str">
        <f>IF(COUNTIF($A$2:A847,A847)&gt;1,"Duplicate","Unique")</f>
        <v>Unique</v>
      </c>
      <c r="R847" t="str">
        <f t="shared" si="78"/>
        <v>Valid</v>
      </c>
      <c r="S847" t="str">
        <f t="shared" si="79"/>
        <v>Valid</v>
      </c>
      <c r="T847" t="str">
        <f t="shared" si="80"/>
        <v>Valid</v>
      </c>
      <c r="U847" t="str">
        <f t="shared" si="81"/>
        <v>Valid</v>
      </c>
      <c r="V847" t="str">
        <f t="shared" si="82"/>
        <v>Valid</v>
      </c>
      <c r="W847" t="str">
        <f t="shared" si="83"/>
        <v>Outlier</v>
      </c>
    </row>
    <row r="848" spans="1:23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  <c r="Q848" t="str">
        <f>IF(COUNTIF($A$2:A848,A848)&gt;1,"Duplicate","Unique")</f>
        <v>Unique</v>
      </c>
      <c r="R848" t="str">
        <f t="shared" si="78"/>
        <v>Valid</v>
      </c>
      <c r="S848" t="str">
        <f t="shared" si="79"/>
        <v>Valid</v>
      </c>
      <c r="T848" t="str">
        <f t="shared" si="80"/>
        <v>Valid</v>
      </c>
      <c r="U848" t="str">
        <f t="shared" si="81"/>
        <v>Valid</v>
      </c>
      <c r="V848" t="str">
        <f t="shared" si="82"/>
        <v>Valid</v>
      </c>
      <c r="W848" t="str">
        <f t="shared" si="83"/>
        <v>Outlier</v>
      </c>
    </row>
    <row r="849" spans="1:23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  <c r="Q849" t="str">
        <f>IF(COUNTIF($A$2:A849,A849)&gt;1,"Duplicate","Unique")</f>
        <v>Unique</v>
      </c>
      <c r="R849" t="str">
        <f t="shared" si="78"/>
        <v>Valid</v>
      </c>
      <c r="S849" t="str">
        <f t="shared" si="79"/>
        <v>Valid</v>
      </c>
      <c r="T849" t="str">
        <f t="shared" si="80"/>
        <v>Valid</v>
      </c>
      <c r="U849" t="str">
        <f t="shared" si="81"/>
        <v>Valid</v>
      </c>
      <c r="V849" t="str">
        <f t="shared" si="82"/>
        <v>Valid</v>
      </c>
      <c r="W849" t="str">
        <f t="shared" si="83"/>
        <v>Outlier</v>
      </c>
    </row>
    <row r="850" spans="1:23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  <c r="Q850" t="str">
        <f>IF(COUNTIF($A$2:A850,A850)&gt;1,"Duplicate","Unique")</f>
        <v>Unique</v>
      </c>
      <c r="R850" t="str">
        <f t="shared" si="78"/>
        <v>Valid</v>
      </c>
      <c r="S850" t="str">
        <f t="shared" si="79"/>
        <v>Valid</v>
      </c>
      <c r="T850" t="str">
        <f t="shared" si="80"/>
        <v>Valid</v>
      </c>
      <c r="U850" t="str">
        <f t="shared" si="81"/>
        <v>Valid</v>
      </c>
      <c r="V850" t="str">
        <f t="shared" si="82"/>
        <v>Valid</v>
      </c>
      <c r="W850" t="str">
        <f t="shared" si="83"/>
        <v>Outlier</v>
      </c>
    </row>
    <row r="851" spans="1:23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  <c r="Q851" t="str">
        <f>IF(COUNTIF($A$2:A851,A851)&gt;1,"Duplicate","Unique")</f>
        <v>Unique</v>
      </c>
      <c r="R851" t="str">
        <f t="shared" si="78"/>
        <v>Valid</v>
      </c>
      <c r="S851" t="str">
        <f t="shared" si="79"/>
        <v>Valid</v>
      </c>
      <c r="T851" t="str">
        <f t="shared" si="80"/>
        <v>Valid</v>
      </c>
      <c r="U851" t="str">
        <f t="shared" si="81"/>
        <v>Valid</v>
      </c>
      <c r="V851" t="str">
        <f t="shared" si="82"/>
        <v>Valid</v>
      </c>
      <c r="W851" t="str">
        <f t="shared" si="83"/>
        <v>Outlier</v>
      </c>
    </row>
    <row r="852" spans="1:23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  <c r="Q852" t="str">
        <f>IF(COUNTIF($A$2:A852,A852)&gt;1,"Duplicate","Unique")</f>
        <v>Unique</v>
      </c>
      <c r="R852" t="str">
        <f t="shared" si="78"/>
        <v>Valid</v>
      </c>
      <c r="S852" t="str">
        <f t="shared" si="79"/>
        <v>Valid</v>
      </c>
      <c r="T852" t="str">
        <f t="shared" si="80"/>
        <v>Valid</v>
      </c>
      <c r="U852" t="str">
        <f t="shared" si="81"/>
        <v>Valid</v>
      </c>
      <c r="V852" t="str">
        <f t="shared" si="82"/>
        <v>Valid</v>
      </c>
      <c r="W852" t="str">
        <f t="shared" si="83"/>
        <v>Outlier</v>
      </c>
    </row>
    <row r="853" spans="1:23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  <c r="Q853" t="str">
        <f>IF(COUNTIF($A$2:A853,A853)&gt;1,"Duplicate","Unique")</f>
        <v>Unique</v>
      </c>
      <c r="R853" t="str">
        <f t="shared" si="78"/>
        <v>Valid</v>
      </c>
      <c r="S853" t="str">
        <f t="shared" si="79"/>
        <v>Valid</v>
      </c>
      <c r="T853" t="str">
        <f t="shared" si="80"/>
        <v>Valid</v>
      </c>
      <c r="U853" t="str">
        <f t="shared" si="81"/>
        <v>Valid</v>
      </c>
      <c r="V853" t="str">
        <f t="shared" si="82"/>
        <v>Valid</v>
      </c>
      <c r="W853" t="str">
        <f t="shared" si="83"/>
        <v>Outlier</v>
      </c>
    </row>
    <row r="854" spans="1:23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  <c r="Q854" t="str">
        <f>IF(COUNTIF($A$2:A854,A854)&gt;1,"Duplicate","Unique")</f>
        <v>Unique</v>
      </c>
      <c r="R854" t="str">
        <f t="shared" si="78"/>
        <v>Valid</v>
      </c>
      <c r="S854" t="str">
        <f t="shared" si="79"/>
        <v>Valid</v>
      </c>
      <c r="T854" t="str">
        <f t="shared" si="80"/>
        <v>Valid</v>
      </c>
      <c r="U854" t="str">
        <f t="shared" si="81"/>
        <v>Valid</v>
      </c>
      <c r="V854" t="str">
        <f t="shared" si="82"/>
        <v>Valid</v>
      </c>
      <c r="W854" t="str">
        <f t="shared" si="83"/>
        <v>Outlier</v>
      </c>
    </row>
    <row r="855" spans="1:23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  <c r="Q855" t="str">
        <f>IF(COUNTIF($A$2:A855,A855)&gt;1,"Duplicate","Unique")</f>
        <v>Unique</v>
      </c>
      <c r="R855" t="str">
        <f t="shared" si="78"/>
        <v>Valid</v>
      </c>
      <c r="S855" t="str">
        <f t="shared" si="79"/>
        <v>Valid</v>
      </c>
      <c r="T855" t="str">
        <f t="shared" si="80"/>
        <v>Valid</v>
      </c>
      <c r="U855" t="str">
        <f t="shared" si="81"/>
        <v>Valid</v>
      </c>
      <c r="V855" t="str">
        <f t="shared" si="82"/>
        <v>Valid</v>
      </c>
      <c r="W855" t="str">
        <f t="shared" si="83"/>
        <v>Outlier</v>
      </c>
    </row>
    <row r="856" spans="1:23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  <c r="Q856" t="str">
        <f>IF(COUNTIF($A$2:A856,A856)&gt;1,"Duplicate","Unique")</f>
        <v>Unique</v>
      </c>
      <c r="R856" t="str">
        <f t="shared" si="78"/>
        <v>Valid</v>
      </c>
      <c r="S856" t="str">
        <f t="shared" si="79"/>
        <v>Valid</v>
      </c>
      <c r="T856" t="str">
        <f t="shared" si="80"/>
        <v>Valid</v>
      </c>
      <c r="U856" t="str">
        <f t="shared" si="81"/>
        <v>Valid</v>
      </c>
      <c r="V856" t="str">
        <f t="shared" si="82"/>
        <v>Valid</v>
      </c>
      <c r="W856" t="str">
        <f t="shared" si="83"/>
        <v>Outlier</v>
      </c>
    </row>
    <row r="857" spans="1:23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  <c r="Q857" t="str">
        <f>IF(COUNTIF($A$2:A857,A857)&gt;1,"Duplicate","Unique")</f>
        <v>Unique</v>
      </c>
      <c r="R857" t="str">
        <f t="shared" si="78"/>
        <v>Valid</v>
      </c>
      <c r="S857" t="str">
        <f t="shared" si="79"/>
        <v>Valid</v>
      </c>
      <c r="T857" t="str">
        <f t="shared" si="80"/>
        <v>Valid</v>
      </c>
      <c r="U857" t="str">
        <f t="shared" si="81"/>
        <v>Valid</v>
      </c>
      <c r="V857" t="str">
        <f t="shared" si="82"/>
        <v>Valid</v>
      </c>
      <c r="W857" t="str">
        <f t="shared" si="83"/>
        <v>Outlier</v>
      </c>
    </row>
    <row r="858" spans="1:23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  <c r="Q858" t="str">
        <f>IF(COUNTIF($A$2:A858,A858)&gt;1,"Duplicate","Unique")</f>
        <v>Unique</v>
      </c>
      <c r="R858" t="str">
        <f t="shared" si="78"/>
        <v>Valid</v>
      </c>
      <c r="S858" t="str">
        <f t="shared" si="79"/>
        <v>Valid</v>
      </c>
      <c r="T858" t="str">
        <f t="shared" si="80"/>
        <v>Valid</v>
      </c>
      <c r="U858" t="str">
        <f t="shared" si="81"/>
        <v>Valid</v>
      </c>
      <c r="V858" t="str">
        <f t="shared" si="82"/>
        <v>Valid</v>
      </c>
      <c r="W858" t="str">
        <f t="shared" si="83"/>
        <v>Outlier</v>
      </c>
    </row>
    <row r="859" spans="1:23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  <c r="Q859" t="str">
        <f>IF(COUNTIF($A$2:A859,A859)&gt;1,"Duplicate","Unique")</f>
        <v>Unique</v>
      </c>
      <c r="R859" t="str">
        <f t="shared" si="78"/>
        <v>Valid</v>
      </c>
      <c r="S859" t="str">
        <f t="shared" si="79"/>
        <v>Valid</v>
      </c>
      <c r="T859" t="str">
        <f t="shared" si="80"/>
        <v>Valid</v>
      </c>
      <c r="U859" t="str">
        <f t="shared" si="81"/>
        <v>Valid</v>
      </c>
      <c r="V859" t="str">
        <f t="shared" si="82"/>
        <v>Valid</v>
      </c>
      <c r="W859" t="str">
        <f t="shared" si="83"/>
        <v>Outlier</v>
      </c>
    </row>
    <row r="860" spans="1:23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  <c r="Q860" t="str">
        <f>IF(COUNTIF($A$2:A860,A860)&gt;1,"Duplicate","Unique")</f>
        <v>Unique</v>
      </c>
      <c r="R860" t="str">
        <f t="shared" si="78"/>
        <v>Valid</v>
      </c>
      <c r="S860" t="str">
        <f t="shared" si="79"/>
        <v>Valid</v>
      </c>
      <c r="T860" t="str">
        <f t="shared" si="80"/>
        <v>Valid</v>
      </c>
      <c r="U860" t="str">
        <f t="shared" si="81"/>
        <v>Valid</v>
      </c>
      <c r="V860" t="str">
        <f t="shared" si="82"/>
        <v>Valid</v>
      </c>
      <c r="W860" t="str">
        <f t="shared" si="83"/>
        <v>Outlier</v>
      </c>
    </row>
    <row r="861" spans="1:23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  <c r="Q861" t="str">
        <f>IF(COUNTIF($A$2:A861,A861)&gt;1,"Duplicate","Unique")</f>
        <v>Unique</v>
      </c>
      <c r="R861" t="str">
        <f t="shared" si="78"/>
        <v>Valid</v>
      </c>
      <c r="S861" t="str">
        <f t="shared" si="79"/>
        <v>Valid</v>
      </c>
      <c r="T861" t="str">
        <f t="shared" si="80"/>
        <v>Valid</v>
      </c>
      <c r="U861" t="str">
        <f t="shared" si="81"/>
        <v>Valid</v>
      </c>
      <c r="V861" t="str">
        <f t="shared" si="82"/>
        <v>Valid</v>
      </c>
      <c r="W861" t="str">
        <f t="shared" si="83"/>
        <v>Outlier</v>
      </c>
    </row>
    <row r="862" spans="1:23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  <c r="Q862" t="str">
        <f>IF(COUNTIF($A$2:A862,A862)&gt;1,"Duplicate","Unique")</f>
        <v>Unique</v>
      </c>
      <c r="R862" t="str">
        <f t="shared" si="78"/>
        <v>Valid</v>
      </c>
      <c r="S862" t="str">
        <f t="shared" si="79"/>
        <v>Valid</v>
      </c>
      <c r="T862" t="str">
        <f t="shared" si="80"/>
        <v>Valid</v>
      </c>
      <c r="U862" t="str">
        <f t="shared" si="81"/>
        <v>Valid</v>
      </c>
      <c r="V862" t="str">
        <f t="shared" si="82"/>
        <v>Valid</v>
      </c>
      <c r="W862" t="str">
        <f t="shared" si="83"/>
        <v>Outlier</v>
      </c>
    </row>
    <row r="863" spans="1:23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  <c r="Q863" t="str">
        <f>IF(COUNTIF($A$2:A863,A863)&gt;1,"Duplicate","Unique")</f>
        <v>Unique</v>
      </c>
      <c r="R863" t="str">
        <f t="shared" si="78"/>
        <v>Valid</v>
      </c>
      <c r="S863" t="str">
        <f t="shared" si="79"/>
        <v>Valid</v>
      </c>
      <c r="T863" t="str">
        <f t="shared" si="80"/>
        <v>Valid</v>
      </c>
      <c r="U863" t="str">
        <f t="shared" si="81"/>
        <v>Valid</v>
      </c>
      <c r="V863" t="str">
        <f t="shared" si="82"/>
        <v>Valid</v>
      </c>
      <c r="W863" t="str">
        <f t="shared" si="83"/>
        <v>Outlier</v>
      </c>
    </row>
    <row r="864" spans="1:23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  <c r="Q864" t="str">
        <f>IF(COUNTIF($A$2:A864,A864)&gt;1,"Duplicate","Unique")</f>
        <v>Unique</v>
      </c>
      <c r="R864" t="str">
        <f t="shared" si="78"/>
        <v>Valid</v>
      </c>
      <c r="S864" t="str">
        <f t="shared" si="79"/>
        <v>Valid</v>
      </c>
      <c r="T864" t="str">
        <f t="shared" si="80"/>
        <v>Valid</v>
      </c>
      <c r="U864" t="str">
        <f t="shared" si="81"/>
        <v>Valid</v>
      </c>
      <c r="V864" t="str">
        <f t="shared" si="82"/>
        <v>Valid</v>
      </c>
      <c r="W864" t="str">
        <f t="shared" si="83"/>
        <v>Outlier</v>
      </c>
    </row>
    <row r="865" spans="1:23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  <c r="Q865" t="str">
        <f>IF(COUNTIF($A$2:A865,A865)&gt;1,"Duplicate","Unique")</f>
        <v>Unique</v>
      </c>
      <c r="R865" t="str">
        <f t="shared" si="78"/>
        <v>Valid</v>
      </c>
      <c r="S865" t="str">
        <f t="shared" si="79"/>
        <v>Valid</v>
      </c>
      <c r="T865" t="str">
        <f t="shared" si="80"/>
        <v>Valid</v>
      </c>
      <c r="U865" t="str">
        <f t="shared" si="81"/>
        <v>Valid</v>
      </c>
      <c r="V865" t="str">
        <f t="shared" si="82"/>
        <v>Valid</v>
      </c>
      <c r="W865" t="str">
        <f t="shared" si="83"/>
        <v>Outlier</v>
      </c>
    </row>
    <row r="866" spans="1:23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  <c r="Q866" t="str">
        <f>IF(COUNTIF($A$2:A866,A866)&gt;1,"Duplicate","Unique")</f>
        <v>Unique</v>
      </c>
      <c r="R866" t="str">
        <f t="shared" si="78"/>
        <v>Valid</v>
      </c>
      <c r="S866" t="str">
        <f t="shared" si="79"/>
        <v>Valid</v>
      </c>
      <c r="T866" t="str">
        <f t="shared" si="80"/>
        <v>Valid</v>
      </c>
      <c r="U866" t="str">
        <f t="shared" si="81"/>
        <v>Valid</v>
      </c>
      <c r="V866" t="str">
        <f t="shared" si="82"/>
        <v>Valid</v>
      </c>
      <c r="W866" t="str">
        <f t="shared" si="83"/>
        <v>Outlier</v>
      </c>
    </row>
    <row r="867" spans="1:23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  <c r="Q867" t="str">
        <f>IF(COUNTIF($A$2:A867,A867)&gt;1,"Duplicate","Unique")</f>
        <v>Unique</v>
      </c>
      <c r="R867" t="str">
        <f t="shared" si="78"/>
        <v>Valid</v>
      </c>
      <c r="S867" t="str">
        <f t="shared" si="79"/>
        <v>Valid</v>
      </c>
      <c r="T867" t="str">
        <f t="shared" si="80"/>
        <v>Valid</v>
      </c>
      <c r="U867" t="str">
        <f t="shared" si="81"/>
        <v>Valid</v>
      </c>
      <c r="V867" t="str">
        <f t="shared" si="82"/>
        <v>Valid</v>
      </c>
      <c r="W867" t="str">
        <f t="shared" si="83"/>
        <v>Outlier</v>
      </c>
    </row>
    <row r="868" spans="1:23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  <c r="Q868" t="str">
        <f>IF(COUNTIF($A$2:A868,A868)&gt;1,"Duplicate","Unique")</f>
        <v>Unique</v>
      </c>
      <c r="R868" t="str">
        <f t="shared" si="78"/>
        <v>Valid</v>
      </c>
      <c r="S868" t="str">
        <f t="shared" si="79"/>
        <v>Valid</v>
      </c>
      <c r="T868" t="str">
        <f t="shared" si="80"/>
        <v>Valid</v>
      </c>
      <c r="U868" t="str">
        <f t="shared" si="81"/>
        <v>Valid</v>
      </c>
      <c r="V868" t="str">
        <f t="shared" si="82"/>
        <v>Valid</v>
      </c>
      <c r="W868" t="str">
        <f t="shared" si="83"/>
        <v>Outlier</v>
      </c>
    </row>
    <row r="869" spans="1:23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  <c r="Q869" t="str">
        <f>IF(COUNTIF($A$2:A869,A869)&gt;1,"Duplicate","Unique")</f>
        <v>Unique</v>
      </c>
      <c r="R869" t="str">
        <f t="shared" si="78"/>
        <v>Valid</v>
      </c>
      <c r="S869" t="str">
        <f t="shared" si="79"/>
        <v>Valid</v>
      </c>
      <c r="T869" t="str">
        <f t="shared" si="80"/>
        <v>Valid</v>
      </c>
      <c r="U869" t="str">
        <f t="shared" si="81"/>
        <v>Valid</v>
      </c>
      <c r="V869" t="str">
        <f t="shared" si="82"/>
        <v>Valid</v>
      </c>
      <c r="W869" t="str">
        <f t="shared" si="83"/>
        <v>Outlier</v>
      </c>
    </row>
    <row r="870" spans="1:23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  <c r="Q870" t="str">
        <f>IF(COUNTIF($A$2:A870,A870)&gt;1,"Duplicate","Unique")</f>
        <v>Unique</v>
      </c>
      <c r="R870" t="str">
        <f t="shared" si="78"/>
        <v>Valid</v>
      </c>
      <c r="S870" t="str">
        <f t="shared" si="79"/>
        <v>Valid</v>
      </c>
      <c r="T870" t="str">
        <f t="shared" si="80"/>
        <v>Valid</v>
      </c>
      <c r="U870" t="str">
        <f t="shared" si="81"/>
        <v>Valid</v>
      </c>
      <c r="V870" t="str">
        <f t="shared" si="82"/>
        <v>Valid</v>
      </c>
      <c r="W870" t="str">
        <f t="shared" si="83"/>
        <v>Outlier</v>
      </c>
    </row>
    <row r="871" spans="1:23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  <c r="Q871" t="str">
        <f>IF(COUNTIF($A$2:A871,A871)&gt;1,"Duplicate","Unique")</f>
        <v>Unique</v>
      </c>
      <c r="R871" t="str">
        <f t="shared" si="78"/>
        <v>Valid</v>
      </c>
      <c r="S871" t="str">
        <f t="shared" si="79"/>
        <v>Valid</v>
      </c>
      <c r="T871" t="str">
        <f t="shared" si="80"/>
        <v>Valid</v>
      </c>
      <c r="U871" t="str">
        <f t="shared" si="81"/>
        <v>Valid</v>
      </c>
      <c r="V871" t="str">
        <f t="shared" si="82"/>
        <v>Valid</v>
      </c>
      <c r="W871" t="str">
        <f t="shared" si="83"/>
        <v>Outlier</v>
      </c>
    </row>
    <row r="872" spans="1:23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  <c r="Q872" t="str">
        <f>IF(COUNTIF($A$2:A872,A872)&gt;1,"Duplicate","Unique")</f>
        <v>Unique</v>
      </c>
      <c r="R872" t="str">
        <f t="shared" si="78"/>
        <v>Valid</v>
      </c>
      <c r="S872" t="str">
        <f t="shared" si="79"/>
        <v>Valid</v>
      </c>
      <c r="T872" t="str">
        <f t="shared" si="80"/>
        <v>Valid</v>
      </c>
      <c r="U872" t="str">
        <f t="shared" si="81"/>
        <v>Valid</v>
      </c>
      <c r="V872" t="str">
        <f t="shared" si="82"/>
        <v>Valid</v>
      </c>
      <c r="W872" t="str">
        <f t="shared" si="83"/>
        <v>Outlier</v>
      </c>
    </row>
    <row r="873" spans="1:23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  <c r="Q873" t="str">
        <f>IF(COUNTIF($A$2:A873,A873)&gt;1,"Duplicate","Unique")</f>
        <v>Unique</v>
      </c>
      <c r="R873" t="str">
        <f t="shared" si="78"/>
        <v>Valid</v>
      </c>
      <c r="S873" t="str">
        <f t="shared" si="79"/>
        <v>Valid</v>
      </c>
      <c r="T873" t="str">
        <f t="shared" si="80"/>
        <v>Valid</v>
      </c>
      <c r="U873" t="str">
        <f t="shared" si="81"/>
        <v>Valid</v>
      </c>
      <c r="V873" t="str">
        <f t="shared" si="82"/>
        <v>Valid</v>
      </c>
      <c r="W873" t="str">
        <f t="shared" si="83"/>
        <v>Outlier</v>
      </c>
    </row>
    <row r="874" spans="1:23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  <c r="Q874" t="str">
        <f>IF(COUNTIF($A$2:A874,A874)&gt;1,"Duplicate","Unique")</f>
        <v>Unique</v>
      </c>
      <c r="R874" t="str">
        <f t="shared" si="78"/>
        <v>Valid</v>
      </c>
      <c r="S874" t="str">
        <f t="shared" si="79"/>
        <v>Valid</v>
      </c>
      <c r="T874" t="str">
        <f t="shared" si="80"/>
        <v>Valid</v>
      </c>
      <c r="U874" t="str">
        <f t="shared" si="81"/>
        <v>Valid</v>
      </c>
      <c r="V874" t="str">
        <f t="shared" si="82"/>
        <v>Valid</v>
      </c>
      <c r="W874" t="str">
        <f t="shared" si="83"/>
        <v>Outlier</v>
      </c>
    </row>
    <row r="875" spans="1:23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  <c r="Q875" t="str">
        <f>IF(COUNTIF($A$2:A875,A875)&gt;1,"Duplicate","Unique")</f>
        <v>Unique</v>
      </c>
      <c r="R875" t="str">
        <f t="shared" si="78"/>
        <v>Valid</v>
      </c>
      <c r="S875" t="str">
        <f t="shared" si="79"/>
        <v>Valid</v>
      </c>
      <c r="T875" t="str">
        <f t="shared" si="80"/>
        <v>Valid</v>
      </c>
      <c r="U875" t="str">
        <f t="shared" si="81"/>
        <v>Valid</v>
      </c>
      <c r="V875" t="str">
        <f t="shared" si="82"/>
        <v>Valid</v>
      </c>
      <c r="W875" t="str">
        <f t="shared" si="83"/>
        <v>Outlier</v>
      </c>
    </row>
    <row r="876" spans="1:23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  <c r="Q876" t="str">
        <f>IF(COUNTIF($A$2:A876,A876)&gt;1,"Duplicate","Unique")</f>
        <v>Unique</v>
      </c>
      <c r="R876" t="str">
        <f t="shared" si="78"/>
        <v>Valid</v>
      </c>
      <c r="S876" t="str">
        <f t="shared" si="79"/>
        <v>Valid</v>
      </c>
      <c r="T876" t="str">
        <f t="shared" si="80"/>
        <v>Valid</v>
      </c>
      <c r="U876" t="str">
        <f t="shared" si="81"/>
        <v>Valid</v>
      </c>
      <c r="V876" t="str">
        <f t="shared" si="82"/>
        <v>Valid</v>
      </c>
      <c r="W876" t="str">
        <f t="shared" si="83"/>
        <v>Outlier</v>
      </c>
    </row>
    <row r="877" spans="1:23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  <c r="Q877" t="str">
        <f>IF(COUNTIF($A$2:A877,A877)&gt;1,"Duplicate","Unique")</f>
        <v>Unique</v>
      </c>
      <c r="R877" t="str">
        <f t="shared" si="78"/>
        <v>Valid</v>
      </c>
      <c r="S877" t="str">
        <f t="shared" si="79"/>
        <v>Valid</v>
      </c>
      <c r="T877" t="str">
        <f t="shared" si="80"/>
        <v>Valid</v>
      </c>
      <c r="U877" t="str">
        <f t="shared" si="81"/>
        <v>Valid</v>
      </c>
      <c r="V877" t="str">
        <f t="shared" si="82"/>
        <v>Valid</v>
      </c>
      <c r="W877" t="str">
        <f t="shared" si="83"/>
        <v>Outlier</v>
      </c>
    </row>
    <row r="878" spans="1:23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  <c r="Q878" t="str">
        <f>IF(COUNTIF($A$2:A878,A878)&gt;1,"Duplicate","Unique")</f>
        <v>Unique</v>
      </c>
      <c r="R878" t="str">
        <f t="shared" si="78"/>
        <v>Valid</v>
      </c>
      <c r="S878" t="str">
        <f t="shared" si="79"/>
        <v>Valid</v>
      </c>
      <c r="T878" t="str">
        <f t="shared" si="80"/>
        <v>Valid</v>
      </c>
      <c r="U878" t="str">
        <f t="shared" si="81"/>
        <v>Valid</v>
      </c>
      <c r="V878" t="str">
        <f t="shared" si="82"/>
        <v>Valid</v>
      </c>
      <c r="W878" t="str">
        <f t="shared" si="83"/>
        <v>Outlier</v>
      </c>
    </row>
    <row r="879" spans="1:23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  <c r="Q879" t="str">
        <f>IF(COUNTIF($A$2:A879,A879)&gt;1,"Duplicate","Unique")</f>
        <v>Unique</v>
      </c>
      <c r="R879" t="str">
        <f t="shared" si="78"/>
        <v>Valid</v>
      </c>
      <c r="S879" t="str">
        <f t="shared" si="79"/>
        <v>Valid</v>
      </c>
      <c r="T879" t="str">
        <f t="shared" si="80"/>
        <v>Valid</v>
      </c>
      <c r="U879" t="str">
        <f t="shared" si="81"/>
        <v>Valid</v>
      </c>
      <c r="V879" t="str">
        <f t="shared" si="82"/>
        <v>Valid</v>
      </c>
      <c r="W879" t="str">
        <f t="shared" si="83"/>
        <v>Outlier</v>
      </c>
    </row>
    <row r="880" spans="1:23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  <c r="Q880" t="str">
        <f>IF(COUNTIF($A$2:A880,A880)&gt;1,"Duplicate","Unique")</f>
        <v>Unique</v>
      </c>
      <c r="R880" t="str">
        <f t="shared" si="78"/>
        <v>Valid</v>
      </c>
      <c r="S880" t="str">
        <f t="shared" si="79"/>
        <v>Valid</v>
      </c>
      <c r="T880" t="str">
        <f t="shared" si="80"/>
        <v>Valid</v>
      </c>
      <c r="U880" t="str">
        <f t="shared" si="81"/>
        <v>Valid</v>
      </c>
      <c r="V880" t="str">
        <f t="shared" si="82"/>
        <v>Valid</v>
      </c>
      <c r="W880" t="str">
        <f t="shared" si="83"/>
        <v>Outlier</v>
      </c>
    </row>
    <row r="881" spans="1:23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  <c r="Q881" t="str">
        <f>IF(COUNTIF($A$2:A881,A881)&gt;1,"Duplicate","Unique")</f>
        <v>Unique</v>
      </c>
      <c r="R881" t="str">
        <f t="shared" si="78"/>
        <v>Valid</v>
      </c>
      <c r="S881" t="str">
        <f t="shared" si="79"/>
        <v>Valid</v>
      </c>
      <c r="T881" t="str">
        <f t="shared" si="80"/>
        <v>Valid</v>
      </c>
      <c r="U881" t="str">
        <f t="shared" si="81"/>
        <v>Valid</v>
      </c>
      <c r="V881" t="str">
        <f t="shared" si="82"/>
        <v>Valid</v>
      </c>
      <c r="W881" t="str">
        <f t="shared" si="83"/>
        <v>Outlier</v>
      </c>
    </row>
    <row r="882" spans="1:23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  <c r="Q882" t="str">
        <f>IF(COUNTIF($A$2:A882,A882)&gt;1,"Duplicate","Unique")</f>
        <v>Unique</v>
      </c>
      <c r="R882" t="str">
        <f t="shared" si="78"/>
        <v>Valid</v>
      </c>
      <c r="S882" t="str">
        <f t="shared" si="79"/>
        <v>Valid</v>
      </c>
      <c r="T882" t="str">
        <f t="shared" si="80"/>
        <v>Valid</v>
      </c>
      <c r="U882" t="str">
        <f t="shared" si="81"/>
        <v>Valid</v>
      </c>
      <c r="V882" t="str">
        <f t="shared" si="82"/>
        <v>Valid</v>
      </c>
      <c r="W882" t="str">
        <f t="shared" si="83"/>
        <v>Outlier</v>
      </c>
    </row>
    <row r="883" spans="1:23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  <c r="Q883" t="str">
        <f>IF(COUNTIF($A$2:A883,A883)&gt;1,"Duplicate","Unique")</f>
        <v>Unique</v>
      </c>
      <c r="R883" t="str">
        <f t="shared" si="78"/>
        <v>Valid</v>
      </c>
      <c r="S883" t="str">
        <f t="shared" si="79"/>
        <v>Valid</v>
      </c>
      <c r="T883" t="str">
        <f t="shared" si="80"/>
        <v>Valid</v>
      </c>
      <c r="U883" t="str">
        <f t="shared" si="81"/>
        <v>Valid</v>
      </c>
      <c r="V883" t="str">
        <f t="shared" si="82"/>
        <v>Valid</v>
      </c>
      <c r="W883" t="str">
        <f t="shared" si="83"/>
        <v>Outlier</v>
      </c>
    </row>
    <row r="884" spans="1:23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  <c r="Q884" t="str">
        <f>IF(COUNTIF($A$2:A884,A884)&gt;1,"Duplicate","Unique")</f>
        <v>Unique</v>
      </c>
      <c r="R884" t="str">
        <f t="shared" si="78"/>
        <v>Valid</v>
      </c>
      <c r="S884" t="str">
        <f t="shared" si="79"/>
        <v>Valid</v>
      </c>
      <c r="T884" t="str">
        <f t="shared" si="80"/>
        <v>Valid</v>
      </c>
      <c r="U884" t="str">
        <f t="shared" si="81"/>
        <v>Valid</v>
      </c>
      <c r="V884" t="str">
        <f t="shared" si="82"/>
        <v>Valid</v>
      </c>
      <c r="W884" t="str">
        <f t="shared" si="83"/>
        <v>Outlier</v>
      </c>
    </row>
    <row r="885" spans="1:23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  <c r="Q885" t="str">
        <f>IF(COUNTIF($A$2:A885,A885)&gt;1,"Duplicate","Unique")</f>
        <v>Unique</v>
      </c>
      <c r="R885" t="str">
        <f t="shared" si="78"/>
        <v>Valid</v>
      </c>
      <c r="S885" t="str">
        <f t="shared" si="79"/>
        <v>Valid</v>
      </c>
      <c r="T885" t="str">
        <f t="shared" si="80"/>
        <v>Valid</v>
      </c>
      <c r="U885" t="str">
        <f t="shared" si="81"/>
        <v>Valid</v>
      </c>
      <c r="V885" t="str">
        <f t="shared" si="82"/>
        <v>Valid</v>
      </c>
      <c r="W885" t="str">
        <f t="shared" si="83"/>
        <v>Outlier</v>
      </c>
    </row>
    <row r="886" spans="1:23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  <c r="Q886" t="str">
        <f>IF(COUNTIF($A$2:A886,A886)&gt;1,"Duplicate","Unique")</f>
        <v>Unique</v>
      </c>
      <c r="R886" t="str">
        <f t="shared" si="78"/>
        <v>Valid</v>
      </c>
      <c r="S886" t="str">
        <f t="shared" si="79"/>
        <v>Valid</v>
      </c>
      <c r="T886" t="str">
        <f t="shared" si="80"/>
        <v>Valid</v>
      </c>
      <c r="U886" t="str">
        <f t="shared" si="81"/>
        <v>Valid</v>
      </c>
      <c r="V886" t="str">
        <f t="shared" si="82"/>
        <v>Valid</v>
      </c>
      <c r="W886" t="str">
        <f t="shared" si="83"/>
        <v>Outlier</v>
      </c>
    </row>
    <row r="887" spans="1:23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  <c r="Q887" t="str">
        <f>IF(COUNTIF($A$2:A887,A887)&gt;1,"Duplicate","Unique")</f>
        <v>Unique</v>
      </c>
      <c r="R887" t="str">
        <f t="shared" si="78"/>
        <v>Valid</v>
      </c>
      <c r="S887" t="str">
        <f t="shared" si="79"/>
        <v>Valid</v>
      </c>
      <c r="T887" t="str">
        <f t="shared" si="80"/>
        <v>Valid</v>
      </c>
      <c r="U887" t="str">
        <f t="shared" si="81"/>
        <v>Valid</v>
      </c>
      <c r="V887" t="str">
        <f t="shared" si="82"/>
        <v>Valid</v>
      </c>
      <c r="W887" t="str">
        <f t="shared" si="83"/>
        <v>Outlier</v>
      </c>
    </row>
    <row r="888" spans="1:23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  <c r="Q888" t="str">
        <f>IF(COUNTIF($A$2:A888,A888)&gt;1,"Duplicate","Unique")</f>
        <v>Unique</v>
      </c>
      <c r="R888" t="str">
        <f t="shared" si="78"/>
        <v>Valid</v>
      </c>
      <c r="S888" t="str">
        <f t="shared" si="79"/>
        <v>Valid</v>
      </c>
      <c r="T888" t="str">
        <f t="shared" si="80"/>
        <v>Valid</v>
      </c>
      <c r="U888" t="str">
        <f t="shared" si="81"/>
        <v>Valid</v>
      </c>
      <c r="V888" t="str">
        <f t="shared" si="82"/>
        <v>Valid</v>
      </c>
      <c r="W888" t="str">
        <f t="shared" si="83"/>
        <v>Outlier</v>
      </c>
    </row>
    <row r="889" spans="1:23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  <c r="Q889" t="str">
        <f>IF(COUNTIF($A$2:A889,A889)&gt;1,"Duplicate","Unique")</f>
        <v>Unique</v>
      </c>
      <c r="R889" t="str">
        <f t="shared" si="78"/>
        <v>Valid</v>
      </c>
      <c r="S889" t="str">
        <f t="shared" si="79"/>
        <v>Valid</v>
      </c>
      <c r="T889" t="str">
        <f t="shared" si="80"/>
        <v>Valid</v>
      </c>
      <c r="U889" t="str">
        <f t="shared" si="81"/>
        <v>Valid</v>
      </c>
      <c r="V889" t="str">
        <f t="shared" si="82"/>
        <v>Valid</v>
      </c>
      <c r="W889" t="str">
        <f t="shared" si="83"/>
        <v>Outlier</v>
      </c>
    </row>
    <row r="890" spans="1:23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  <c r="Q890" t="str">
        <f>IF(COUNTIF($A$2:A890,A890)&gt;1,"Duplicate","Unique")</f>
        <v>Unique</v>
      </c>
      <c r="R890" t="str">
        <f t="shared" si="78"/>
        <v>Valid</v>
      </c>
      <c r="S890" t="str">
        <f t="shared" si="79"/>
        <v>Valid</v>
      </c>
      <c r="T890" t="str">
        <f t="shared" si="80"/>
        <v>Valid</v>
      </c>
      <c r="U890" t="str">
        <f t="shared" si="81"/>
        <v>Valid</v>
      </c>
      <c r="V890" t="str">
        <f t="shared" si="82"/>
        <v>Valid</v>
      </c>
      <c r="W890" t="str">
        <f t="shared" si="83"/>
        <v>Outlier</v>
      </c>
    </row>
    <row r="891" spans="1:23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  <c r="Q891" t="str">
        <f>IF(COUNTIF($A$2:A891,A891)&gt;1,"Duplicate","Unique")</f>
        <v>Unique</v>
      </c>
      <c r="R891" t="str">
        <f t="shared" si="78"/>
        <v>Valid</v>
      </c>
      <c r="S891" t="str">
        <f t="shared" si="79"/>
        <v>Valid</v>
      </c>
      <c r="T891" t="str">
        <f t="shared" si="80"/>
        <v>Valid</v>
      </c>
      <c r="U891" t="str">
        <f t="shared" si="81"/>
        <v>Valid</v>
      </c>
      <c r="V891" t="str">
        <f t="shared" si="82"/>
        <v>Valid</v>
      </c>
      <c r="W891" t="str">
        <f t="shared" si="83"/>
        <v>Outlier</v>
      </c>
    </row>
    <row r="892" spans="1:23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  <c r="Q892" t="str">
        <f>IF(COUNTIF($A$2:A892,A892)&gt;1,"Duplicate","Unique")</f>
        <v>Unique</v>
      </c>
      <c r="R892" t="str">
        <f t="shared" si="78"/>
        <v>Valid</v>
      </c>
      <c r="S892" t="str">
        <f t="shared" si="79"/>
        <v>Valid</v>
      </c>
      <c r="T892" t="str">
        <f t="shared" si="80"/>
        <v>Valid</v>
      </c>
      <c r="U892" t="str">
        <f t="shared" si="81"/>
        <v>Valid</v>
      </c>
      <c r="V892" t="str">
        <f t="shared" si="82"/>
        <v>Valid</v>
      </c>
      <c r="W892" t="str">
        <f t="shared" si="83"/>
        <v>Outlier</v>
      </c>
    </row>
    <row r="893" spans="1:23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  <c r="Q893" t="str">
        <f>IF(COUNTIF($A$2:A893,A893)&gt;1,"Duplicate","Unique")</f>
        <v>Unique</v>
      </c>
      <c r="R893" t="str">
        <f t="shared" si="78"/>
        <v>Valid</v>
      </c>
      <c r="S893" t="str">
        <f t="shared" si="79"/>
        <v>Valid</v>
      </c>
      <c r="T893" t="str">
        <f t="shared" si="80"/>
        <v>Valid</v>
      </c>
      <c r="U893" t="str">
        <f t="shared" si="81"/>
        <v>Valid</v>
      </c>
      <c r="V893" t="str">
        <f t="shared" si="82"/>
        <v>Valid</v>
      </c>
      <c r="W893" t="str">
        <f t="shared" si="83"/>
        <v>Outlier</v>
      </c>
    </row>
    <row r="894" spans="1:23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  <c r="Q894" t="str">
        <f>IF(COUNTIF($A$2:A894,A894)&gt;1,"Duplicate","Unique")</f>
        <v>Unique</v>
      </c>
      <c r="R894" t="str">
        <f t="shared" si="78"/>
        <v>Valid</v>
      </c>
      <c r="S894" t="str">
        <f t="shared" si="79"/>
        <v>Valid</v>
      </c>
      <c r="T894" t="str">
        <f t="shared" si="80"/>
        <v>Valid</v>
      </c>
      <c r="U894" t="str">
        <f t="shared" si="81"/>
        <v>Valid</v>
      </c>
      <c r="V894" t="str">
        <f t="shared" si="82"/>
        <v>Valid</v>
      </c>
      <c r="W894" t="str">
        <f t="shared" si="83"/>
        <v>Outlier</v>
      </c>
    </row>
    <row r="895" spans="1:23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  <c r="Q895" t="str">
        <f>IF(COUNTIF($A$2:A895,A895)&gt;1,"Duplicate","Unique")</f>
        <v>Unique</v>
      </c>
      <c r="R895" t="str">
        <f t="shared" si="78"/>
        <v>Valid</v>
      </c>
      <c r="S895" t="str">
        <f t="shared" si="79"/>
        <v>Valid</v>
      </c>
      <c r="T895" t="str">
        <f t="shared" si="80"/>
        <v>Valid</v>
      </c>
      <c r="U895" t="str">
        <f t="shared" si="81"/>
        <v>Valid</v>
      </c>
      <c r="V895" t="str">
        <f t="shared" si="82"/>
        <v>Valid</v>
      </c>
      <c r="W895" t="str">
        <f t="shared" si="83"/>
        <v>Outlier</v>
      </c>
    </row>
    <row r="896" spans="1:23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  <c r="Q896" t="str">
        <f>IF(COUNTIF($A$2:A896,A896)&gt;1,"Duplicate","Unique")</f>
        <v>Unique</v>
      </c>
      <c r="R896" t="str">
        <f t="shared" si="78"/>
        <v>Valid</v>
      </c>
      <c r="S896" t="str">
        <f t="shared" si="79"/>
        <v>Valid</v>
      </c>
      <c r="T896" t="str">
        <f t="shared" si="80"/>
        <v>Valid</v>
      </c>
      <c r="U896" t="str">
        <f t="shared" si="81"/>
        <v>Valid</v>
      </c>
      <c r="V896" t="str">
        <f t="shared" si="82"/>
        <v>Valid</v>
      </c>
      <c r="W896" t="str">
        <f t="shared" si="83"/>
        <v>Outlier</v>
      </c>
    </row>
    <row r="897" spans="1:23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  <c r="Q897" t="str">
        <f>IF(COUNTIF($A$2:A897,A897)&gt;1,"Duplicate","Unique")</f>
        <v>Unique</v>
      </c>
      <c r="R897" t="str">
        <f t="shared" si="78"/>
        <v>Valid</v>
      </c>
      <c r="S897" t="str">
        <f t="shared" si="79"/>
        <v>Valid</v>
      </c>
      <c r="T897" t="str">
        <f t="shared" si="80"/>
        <v>Valid</v>
      </c>
      <c r="U897" t="str">
        <f t="shared" si="81"/>
        <v>Valid</v>
      </c>
      <c r="V897" t="str">
        <f t="shared" si="82"/>
        <v>Valid</v>
      </c>
      <c r="W897" t="str">
        <f t="shared" si="83"/>
        <v>Outlier</v>
      </c>
    </row>
    <row r="898" spans="1:23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  <c r="Q898" t="str">
        <f>IF(COUNTIF($A$2:A898,A898)&gt;1,"Duplicate","Unique")</f>
        <v>Unique</v>
      </c>
      <c r="R898" t="str">
        <f t="shared" si="78"/>
        <v>Valid</v>
      </c>
      <c r="S898" t="str">
        <f t="shared" si="79"/>
        <v>Valid</v>
      </c>
      <c r="T898" t="str">
        <f t="shared" si="80"/>
        <v>Valid</v>
      </c>
      <c r="U898" t="str">
        <f t="shared" si="81"/>
        <v>Valid</v>
      </c>
      <c r="V898" t="str">
        <f t="shared" si="82"/>
        <v>Valid</v>
      </c>
      <c r="W898" t="str">
        <f t="shared" si="83"/>
        <v>Outlier</v>
      </c>
    </row>
    <row r="899" spans="1:23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  <c r="Q899" t="str">
        <f>IF(COUNTIF($A$2:A899,A899)&gt;1,"Duplicate","Unique")</f>
        <v>Unique</v>
      </c>
      <c r="R899" t="str">
        <f t="shared" ref="R899:R962" si="84">IF(OR(H899=0,H899=1),"Valid","Invalid")</f>
        <v>Valid</v>
      </c>
      <c r="S899" t="str">
        <f t="shared" ref="S899:S962" si="85">IF(OR(I899=0,I899=1),"Valid","Invalid")</f>
        <v>Valid</v>
      </c>
      <c r="T899" t="str">
        <f t="shared" ref="T899:T962" si="86">IF(OR(J899=0,J899=1),"Valid","Invalid")</f>
        <v>Valid</v>
      </c>
      <c r="U899" t="str">
        <f t="shared" ref="U899:U962" si="87">IF(OR(K899=0,K899=1),"Valid","Invalid")</f>
        <v>Valid</v>
      </c>
      <c r="V899" t="str">
        <f t="shared" ref="V899:V962" si="88">IF(OR(N899=0,N899=1),"Valid","Invalid")</f>
        <v>Valid</v>
      </c>
      <c r="W899" t="str">
        <f t="shared" ref="W899:W962" si="89">IF(OR(L899&lt;$B$23,L899&gt;$B$24),"Outlier","Normal")</f>
        <v>Outlier</v>
      </c>
    </row>
    <row r="900" spans="1:23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  <c r="Q900" t="str">
        <f>IF(COUNTIF($A$2:A900,A900)&gt;1,"Duplicate","Unique")</f>
        <v>Unique</v>
      </c>
      <c r="R900" t="str">
        <f t="shared" si="84"/>
        <v>Valid</v>
      </c>
      <c r="S900" t="str">
        <f t="shared" si="85"/>
        <v>Valid</v>
      </c>
      <c r="T900" t="str">
        <f t="shared" si="86"/>
        <v>Valid</v>
      </c>
      <c r="U900" t="str">
        <f t="shared" si="87"/>
        <v>Valid</v>
      </c>
      <c r="V900" t="str">
        <f t="shared" si="88"/>
        <v>Valid</v>
      </c>
      <c r="W900" t="str">
        <f t="shared" si="89"/>
        <v>Outlier</v>
      </c>
    </row>
    <row r="901" spans="1:23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  <c r="Q901" t="str">
        <f>IF(COUNTIF($A$2:A901,A901)&gt;1,"Duplicate","Unique")</f>
        <v>Unique</v>
      </c>
      <c r="R901" t="str">
        <f t="shared" si="84"/>
        <v>Valid</v>
      </c>
      <c r="S901" t="str">
        <f t="shared" si="85"/>
        <v>Valid</v>
      </c>
      <c r="T901" t="str">
        <f t="shared" si="86"/>
        <v>Valid</v>
      </c>
      <c r="U901" t="str">
        <f t="shared" si="87"/>
        <v>Valid</v>
      </c>
      <c r="V901" t="str">
        <f t="shared" si="88"/>
        <v>Valid</v>
      </c>
      <c r="W901" t="str">
        <f t="shared" si="89"/>
        <v>Outlier</v>
      </c>
    </row>
    <row r="902" spans="1:23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  <c r="Q902" t="str">
        <f>IF(COUNTIF($A$2:A902,A902)&gt;1,"Duplicate","Unique")</f>
        <v>Unique</v>
      </c>
      <c r="R902" t="str">
        <f t="shared" si="84"/>
        <v>Valid</v>
      </c>
      <c r="S902" t="str">
        <f t="shared" si="85"/>
        <v>Valid</v>
      </c>
      <c r="T902" t="str">
        <f t="shared" si="86"/>
        <v>Valid</v>
      </c>
      <c r="U902" t="str">
        <f t="shared" si="87"/>
        <v>Valid</v>
      </c>
      <c r="V902" t="str">
        <f t="shared" si="88"/>
        <v>Valid</v>
      </c>
      <c r="W902" t="str">
        <f t="shared" si="89"/>
        <v>Outlier</v>
      </c>
    </row>
    <row r="903" spans="1:23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  <c r="Q903" t="str">
        <f>IF(COUNTIF($A$2:A903,A903)&gt;1,"Duplicate","Unique")</f>
        <v>Unique</v>
      </c>
      <c r="R903" t="str">
        <f t="shared" si="84"/>
        <v>Valid</v>
      </c>
      <c r="S903" t="str">
        <f t="shared" si="85"/>
        <v>Valid</v>
      </c>
      <c r="T903" t="str">
        <f t="shared" si="86"/>
        <v>Valid</v>
      </c>
      <c r="U903" t="str">
        <f t="shared" si="87"/>
        <v>Valid</v>
      </c>
      <c r="V903" t="str">
        <f t="shared" si="88"/>
        <v>Valid</v>
      </c>
      <c r="W903" t="str">
        <f t="shared" si="89"/>
        <v>Outlier</v>
      </c>
    </row>
    <row r="904" spans="1:23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  <c r="Q904" t="str">
        <f>IF(COUNTIF($A$2:A904,A904)&gt;1,"Duplicate","Unique")</f>
        <v>Unique</v>
      </c>
      <c r="R904" t="str">
        <f t="shared" si="84"/>
        <v>Valid</v>
      </c>
      <c r="S904" t="str">
        <f t="shared" si="85"/>
        <v>Valid</v>
      </c>
      <c r="T904" t="str">
        <f t="shared" si="86"/>
        <v>Valid</v>
      </c>
      <c r="U904" t="str">
        <f t="shared" si="87"/>
        <v>Valid</v>
      </c>
      <c r="V904" t="str">
        <f t="shared" si="88"/>
        <v>Valid</v>
      </c>
      <c r="W904" t="str">
        <f t="shared" si="89"/>
        <v>Outlier</v>
      </c>
    </row>
    <row r="905" spans="1:23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  <c r="Q905" t="str">
        <f>IF(COUNTIF($A$2:A905,A905)&gt;1,"Duplicate","Unique")</f>
        <v>Unique</v>
      </c>
      <c r="R905" t="str">
        <f t="shared" si="84"/>
        <v>Valid</v>
      </c>
      <c r="S905" t="str">
        <f t="shared" si="85"/>
        <v>Valid</v>
      </c>
      <c r="T905" t="str">
        <f t="shared" si="86"/>
        <v>Valid</v>
      </c>
      <c r="U905" t="str">
        <f t="shared" si="87"/>
        <v>Valid</v>
      </c>
      <c r="V905" t="str">
        <f t="shared" si="88"/>
        <v>Valid</v>
      </c>
      <c r="W905" t="str">
        <f t="shared" si="89"/>
        <v>Outlier</v>
      </c>
    </row>
    <row r="906" spans="1:23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  <c r="Q906" t="str">
        <f>IF(COUNTIF($A$2:A906,A906)&gt;1,"Duplicate","Unique")</f>
        <v>Unique</v>
      </c>
      <c r="R906" t="str">
        <f t="shared" si="84"/>
        <v>Valid</v>
      </c>
      <c r="S906" t="str">
        <f t="shared" si="85"/>
        <v>Valid</v>
      </c>
      <c r="T906" t="str">
        <f t="shared" si="86"/>
        <v>Valid</v>
      </c>
      <c r="U906" t="str">
        <f t="shared" si="87"/>
        <v>Valid</v>
      </c>
      <c r="V906" t="str">
        <f t="shared" si="88"/>
        <v>Valid</v>
      </c>
      <c r="W906" t="str">
        <f t="shared" si="89"/>
        <v>Outlier</v>
      </c>
    </row>
    <row r="907" spans="1:23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  <c r="Q907" t="str">
        <f>IF(COUNTIF($A$2:A907,A907)&gt;1,"Duplicate","Unique")</f>
        <v>Unique</v>
      </c>
      <c r="R907" t="str">
        <f t="shared" si="84"/>
        <v>Valid</v>
      </c>
      <c r="S907" t="str">
        <f t="shared" si="85"/>
        <v>Valid</v>
      </c>
      <c r="T907" t="str">
        <f t="shared" si="86"/>
        <v>Valid</v>
      </c>
      <c r="U907" t="str">
        <f t="shared" si="87"/>
        <v>Valid</v>
      </c>
      <c r="V907" t="str">
        <f t="shared" si="88"/>
        <v>Valid</v>
      </c>
      <c r="W907" t="str">
        <f t="shared" si="89"/>
        <v>Outlier</v>
      </c>
    </row>
    <row r="908" spans="1:23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  <c r="Q908" t="str">
        <f>IF(COUNTIF($A$2:A908,A908)&gt;1,"Duplicate","Unique")</f>
        <v>Unique</v>
      </c>
      <c r="R908" t="str">
        <f t="shared" si="84"/>
        <v>Valid</v>
      </c>
      <c r="S908" t="str">
        <f t="shared" si="85"/>
        <v>Valid</v>
      </c>
      <c r="T908" t="str">
        <f t="shared" si="86"/>
        <v>Valid</v>
      </c>
      <c r="U908" t="str">
        <f t="shared" si="87"/>
        <v>Valid</v>
      </c>
      <c r="V908" t="str">
        <f t="shared" si="88"/>
        <v>Valid</v>
      </c>
      <c r="W908" t="str">
        <f t="shared" si="89"/>
        <v>Outlier</v>
      </c>
    </row>
    <row r="909" spans="1:23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  <c r="Q909" t="str">
        <f>IF(COUNTIF($A$2:A909,A909)&gt;1,"Duplicate","Unique")</f>
        <v>Unique</v>
      </c>
      <c r="R909" t="str">
        <f t="shared" si="84"/>
        <v>Valid</v>
      </c>
      <c r="S909" t="str">
        <f t="shared" si="85"/>
        <v>Valid</v>
      </c>
      <c r="T909" t="str">
        <f t="shared" si="86"/>
        <v>Valid</v>
      </c>
      <c r="U909" t="str">
        <f t="shared" si="87"/>
        <v>Valid</v>
      </c>
      <c r="V909" t="str">
        <f t="shared" si="88"/>
        <v>Valid</v>
      </c>
      <c r="W909" t="str">
        <f t="shared" si="89"/>
        <v>Outlier</v>
      </c>
    </row>
    <row r="910" spans="1:23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  <c r="Q910" t="str">
        <f>IF(COUNTIF($A$2:A910,A910)&gt;1,"Duplicate","Unique")</f>
        <v>Unique</v>
      </c>
      <c r="R910" t="str">
        <f t="shared" si="84"/>
        <v>Valid</v>
      </c>
      <c r="S910" t="str">
        <f t="shared" si="85"/>
        <v>Valid</v>
      </c>
      <c r="T910" t="str">
        <f t="shared" si="86"/>
        <v>Valid</v>
      </c>
      <c r="U910" t="str">
        <f t="shared" si="87"/>
        <v>Valid</v>
      </c>
      <c r="V910" t="str">
        <f t="shared" si="88"/>
        <v>Valid</v>
      </c>
      <c r="W910" t="str">
        <f t="shared" si="89"/>
        <v>Outlier</v>
      </c>
    </row>
    <row r="911" spans="1:23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  <c r="Q911" t="str">
        <f>IF(COUNTIF($A$2:A911,A911)&gt;1,"Duplicate","Unique")</f>
        <v>Unique</v>
      </c>
      <c r="R911" t="str">
        <f t="shared" si="84"/>
        <v>Valid</v>
      </c>
      <c r="S911" t="str">
        <f t="shared" si="85"/>
        <v>Valid</v>
      </c>
      <c r="T911" t="str">
        <f t="shared" si="86"/>
        <v>Valid</v>
      </c>
      <c r="U911" t="str">
        <f t="shared" si="87"/>
        <v>Valid</v>
      </c>
      <c r="V911" t="str">
        <f t="shared" si="88"/>
        <v>Valid</v>
      </c>
      <c r="W911" t="str">
        <f t="shared" si="89"/>
        <v>Outlier</v>
      </c>
    </row>
    <row r="912" spans="1:23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  <c r="Q912" t="str">
        <f>IF(COUNTIF($A$2:A912,A912)&gt;1,"Duplicate","Unique")</f>
        <v>Unique</v>
      </c>
      <c r="R912" t="str">
        <f t="shared" si="84"/>
        <v>Valid</v>
      </c>
      <c r="S912" t="str">
        <f t="shared" si="85"/>
        <v>Valid</v>
      </c>
      <c r="T912" t="str">
        <f t="shared" si="86"/>
        <v>Valid</v>
      </c>
      <c r="U912" t="str">
        <f t="shared" si="87"/>
        <v>Valid</v>
      </c>
      <c r="V912" t="str">
        <f t="shared" si="88"/>
        <v>Valid</v>
      </c>
      <c r="W912" t="str">
        <f t="shared" si="89"/>
        <v>Outlier</v>
      </c>
    </row>
    <row r="913" spans="1:23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  <c r="Q913" t="str">
        <f>IF(COUNTIF($A$2:A913,A913)&gt;1,"Duplicate","Unique")</f>
        <v>Unique</v>
      </c>
      <c r="R913" t="str">
        <f t="shared" si="84"/>
        <v>Valid</v>
      </c>
      <c r="S913" t="str">
        <f t="shared" si="85"/>
        <v>Valid</v>
      </c>
      <c r="T913" t="str">
        <f t="shared" si="86"/>
        <v>Valid</v>
      </c>
      <c r="U913" t="str">
        <f t="shared" si="87"/>
        <v>Valid</v>
      </c>
      <c r="V913" t="str">
        <f t="shared" si="88"/>
        <v>Valid</v>
      </c>
      <c r="W913" t="str">
        <f t="shared" si="89"/>
        <v>Outlier</v>
      </c>
    </row>
    <row r="914" spans="1:23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  <c r="Q914" t="str">
        <f>IF(COUNTIF($A$2:A914,A914)&gt;1,"Duplicate","Unique")</f>
        <v>Unique</v>
      </c>
      <c r="R914" t="str">
        <f t="shared" si="84"/>
        <v>Valid</v>
      </c>
      <c r="S914" t="str">
        <f t="shared" si="85"/>
        <v>Valid</v>
      </c>
      <c r="T914" t="str">
        <f t="shared" si="86"/>
        <v>Valid</v>
      </c>
      <c r="U914" t="str">
        <f t="shared" si="87"/>
        <v>Valid</v>
      </c>
      <c r="V914" t="str">
        <f t="shared" si="88"/>
        <v>Valid</v>
      </c>
      <c r="W914" t="str">
        <f t="shared" si="89"/>
        <v>Outlier</v>
      </c>
    </row>
    <row r="915" spans="1:23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  <c r="Q915" t="str">
        <f>IF(COUNTIF($A$2:A915,A915)&gt;1,"Duplicate","Unique")</f>
        <v>Unique</v>
      </c>
      <c r="R915" t="str">
        <f t="shared" si="84"/>
        <v>Valid</v>
      </c>
      <c r="S915" t="str">
        <f t="shared" si="85"/>
        <v>Valid</v>
      </c>
      <c r="T915" t="str">
        <f t="shared" si="86"/>
        <v>Valid</v>
      </c>
      <c r="U915" t="str">
        <f t="shared" si="87"/>
        <v>Valid</v>
      </c>
      <c r="V915" t="str">
        <f t="shared" si="88"/>
        <v>Valid</v>
      </c>
      <c r="W915" t="str">
        <f t="shared" si="89"/>
        <v>Outlier</v>
      </c>
    </row>
    <row r="916" spans="1:23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  <c r="Q916" t="str">
        <f>IF(COUNTIF($A$2:A916,A916)&gt;1,"Duplicate","Unique")</f>
        <v>Unique</v>
      </c>
      <c r="R916" t="str">
        <f t="shared" si="84"/>
        <v>Valid</v>
      </c>
      <c r="S916" t="str">
        <f t="shared" si="85"/>
        <v>Valid</v>
      </c>
      <c r="T916" t="str">
        <f t="shared" si="86"/>
        <v>Valid</v>
      </c>
      <c r="U916" t="str">
        <f t="shared" si="87"/>
        <v>Valid</v>
      </c>
      <c r="V916" t="str">
        <f t="shared" si="88"/>
        <v>Valid</v>
      </c>
      <c r="W916" t="str">
        <f t="shared" si="89"/>
        <v>Outlier</v>
      </c>
    </row>
    <row r="917" spans="1:23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  <c r="Q917" t="str">
        <f>IF(COUNTIF($A$2:A917,A917)&gt;1,"Duplicate","Unique")</f>
        <v>Unique</v>
      </c>
      <c r="R917" t="str">
        <f t="shared" si="84"/>
        <v>Valid</v>
      </c>
      <c r="S917" t="str">
        <f t="shared" si="85"/>
        <v>Valid</v>
      </c>
      <c r="T917" t="str">
        <f t="shared" si="86"/>
        <v>Valid</v>
      </c>
      <c r="U917" t="str">
        <f t="shared" si="87"/>
        <v>Valid</v>
      </c>
      <c r="V917" t="str">
        <f t="shared" si="88"/>
        <v>Valid</v>
      </c>
      <c r="W917" t="str">
        <f t="shared" si="89"/>
        <v>Outlier</v>
      </c>
    </row>
    <row r="918" spans="1:23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  <c r="Q918" t="str">
        <f>IF(COUNTIF($A$2:A918,A918)&gt;1,"Duplicate","Unique")</f>
        <v>Unique</v>
      </c>
      <c r="R918" t="str">
        <f t="shared" si="84"/>
        <v>Valid</v>
      </c>
      <c r="S918" t="str">
        <f t="shared" si="85"/>
        <v>Valid</v>
      </c>
      <c r="T918" t="str">
        <f t="shared" si="86"/>
        <v>Valid</v>
      </c>
      <c r="U918" t="str">
        <f t="shared" si="87"/>
        <v>Valid</v>
      </c>
      <c r="V918" t="str">
        <f t="shared" si="88"/>
        <v>Valid</v>
      </c>
      <c r="W918" t="str">
        <f t="shared" si="89"/>
        <v>Outlier</v>
      </c>
    </row>
    <row r="919" spans="1:23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  <c r="Q919" t="str">
        <f>IF(COUNTIF($A$2:A919,A919)&gt;1,"Duplicate","Unique")</f>
        <v>Unique</v>
      </c>
      <c r="R919" t="str">
        <f t="shared" si="84"/>
        <v>Valid</v>
      </c>
      <c r="S919" t="str">
        <f t="shared" si="85"/>
        <v>Valid</v>
      </c>
      <c r="T919" t="str">
        <f t="shared" si="86"/>
        <v>Valid</v>
      </c>
      <c r="U919" t="str">
        <f t="shared" si="87"/>
        <v>Valid</v>
      </c>
      <c r="V919" t="str">
        <f t="shared" si="88"/>
        <v>Valid</v>
      </c>
      <c r="W919" t="str">
        <f t="shared" si="89"/>
        <v>Outlier</v>
      </c>
    </row>
    <row r="920" spans="1:23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  <c r="Q920" t="str">
        <f>IF(COUNTIF($A$2:A920,A920)&gt;1,"Duplicate","Unique")</f>
        <v>Unique</v>
      </c>
      <c r="R920" t="str">
        <f t="shared" si="84"/>
        <v>Valid</v>
      </c>
      <c r="S920" t="str">
        <f t="shared" si="85"/>
        <v>Valid</v>
      </c>
      <c r="T920" t="str">
        <f t="shared" si="86"/>
        <v>Valid</v>
      </c>
      <c r="U920" t="str">
        <f t="shared" si="87"/>
        <v>Valid</v>
      </c>
      <c r="V920" t="str">
        <f t="shared" si="88"/>
        <v>Valid</v>
      </c>
      <c r="W920" t="str">
        <f t="shared" si="89"/>
        <v>Outlier</v>
      </c>
    </row>
    <row r="921" spans="1:23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  <c r="Q921" t="str">
        <f>IF(COUNTIF($A$2:A921,A921)&gt;1,"Duplicate","Unique")</f>
        <v>Unique</v>
      </c>
      <c r="R921" t="str">
        <f t="shared" si="84"/>
        <v>Valid</v>
      </c>
      <c r="S921" t="str">
        <f t="shared" si="85"/>
        <v>Valid</v>
      </c>
      <c r="T921" t="str">
        <f t="shared" si="86"/>
        <v>Valid</v>
      </c>
      <c r="U921" t="str">
        <f t="shared" si="87"/>
        <v>Valid</v>
      </c>
      <c r="V921" t="str">
        <f t="shared" si="88"/>
        <v>Valid</v>
      </c>
      <c r="W921" t="str">
        <f t="shared" si="89"/>
        <v>Outlier</v>
      </c>
    </row>
    <row r="922" spans="1:23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  <c r="Q922" t="str">
        <f>IF(COUNTIF($A$2:A922,A922)&gt;1,"Duplicate","Unique")</f>
        <v>Unique</v>
      </c>
      <c r="R922" t="str">
        <f t="shared" si="84"/>
        <v>Valid</v>
      </c>
      <c r="S922" t="str">
        <f t="shared" si="85"/>
        <v>Valid</v>
      </c>
      <c r="T922" t="str">
        <f t="shared" si="86"/>
        <v>Valid</v>
      </c>
      <c r="U922" t="str">
        <f t="shared" si="87"/>
        <v>Valid</v>
      </c>
      <c r="V922" t="str">
        <f t="shared" si="88"/>
        <v>Valid</v>
      </c>
      <c r="W922" t="str">
        <f t="shared" si="89"/>
        <v>Outlier</v>
      </c>
    </row>
    <row r="923" spans="1:23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  <c r="Q923" t="str">
        <f>IF(COUNTIF($A$2:A923,A923)&gt;1,"Duplicate","Unique")</f>
        <v>Unique</v>
      </c>
      <c r="R923" t="str">
        <f t="shared" si="84"/>
        <v>Valid</v>
      </c>
      <c r="S923" t="str">
        <f t="shared" si="85"/>
        <v>Valid</v>
      </c>
      <c r="T923" t="str">
        <f t="shared" si="86"/>
        <v>Valid</v>
      </c>
      <c r="U923" t="str">
        <f t="shared" si="87"/>
        <v>Valid</v>
      </c>
      <c r="V923" t="str">
        <f t="shared" si="88"/>
        <v>Valid</v>
      </c>
      <c r="W923" t="str">
        <f t="shared" si="89"/>
        <v>Outlier</v>
      </c>
    </row>
    <row r="924" spans="1:23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  <c r="Q924" t="str">
        <f>IF(COUNTIF($A$2:A924,A924)&gt;1,"Duplicate","Unique")</f>
        <v>Unique</v>
      </c>
      <c r="R924" t="str">
        <f t="shared" si="84"/>
        <v>Valid</v>
      </c>
      <c r="S924" t="str">
        <f t="shared" si="85"/>
        <v>Valid</v>
      </c>
      <c r="T924" t="str">
        <f t="shared" si="86"/>
        <v>Valid</v>
      </c>
      <c r="U924" t="str">
        <f t="shared" si="87"/>
        <v>Valid</v>
      </c>
      <c r="V924" t="str">
        <f t="shared" si="88"/>
        <v>Valid</v>
      </c>
      <c r="W924" t="str">
        <f t="shared" si="89"/>
        <v>Outlier</v>
      </c>
    </row>
    <row r="925" spans="1:23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  <c r="Q925" t="str">
        <f>IF(COUNTIF($A$2:A925,A925)&gt;1,"Duplicate","Unique")</f>
        <v>Unique</v>
      </c>
      <c r="R925" t="str">
        <f t="shared" si="84"/>
        <v>Valid</v>
      </c>
      <c r="S925" t="str">
        <f t="shared" si="85"/>
        <v>Valid</v>
      </c>
      <c r="T925" t="str">
        <f t="shared" si="86"/>
        <v>Valid</v>
      </c>
      <c r="U925" t="str">
        <f t="shared" si="87"/>
        <v>Valid</v>
      </c>
      <c r="V925" t="str">
        <f t="shared" si="88"/>
        <v>Valid</v>
      </c>
      <c r="W925" t="str">
        <f t="shared" si="89"/>
        <v>Outlier</v>
      </c>
    </row>
    <row r="926" spans="1:23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  <c r="Q926" t="str">
        <f>IF(COUNTIF($A$2:A926,A926)&gt;1,"Duplicate","Unique")</f>
        <v>Unique</v>
      </c>
      <c r="R926" t="str">
        <f t="shared" si="84"/>
        <v>Valid</v>
      </c>
      <c r="S926" t="str">
        <f t="shared" si="85"/>
        <v>Valid</v>
      </c>
      <c r="T926" t="str">
        <f t="shared" si="86"/>
        <v>Valid</v>
      </c>
      <c r="U926" t="str">
        <f t="shared" si="87"/>
        <v>Valid</v>
      </c>
      <c r="V926" t="str">
        <f t="shared" si="88"/>
        <v>Valid</v>
      </c>
      <c r="W926" t="str">
        <f t="shared" si="89"/>
        <v>Outlier</v>
      </c>
    </row>
    <row r="927" spans="1:23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  <c r="Q927" t="str">
        <f>IF(COUNTIF($A$2:A927,A927)&gt;1,"Duplicate","Unique")</f>
        <v>Unique</v>
      </c>
      <c r="R927" t="str">
        <f t="shared" si="84"/>
        <v>Valid</v>
      </c>
      <c r="S927" t="str">
        <f t="shared" si="85"/>
        <v>Valid</v>
      </c>
      <c r="T927" t="str">
        <f t="shared" si="86"/>
        <v>Valid</v>
      </c>
      <c r="U927" t="str">
        <f t="shared" si="87"/>
        <v>Valid</v>
      </c>
      <c r="V927" t="str">
        <f t="shared" si="88"/>
        <v>Valid</v>
      </c>
      <c r="W927" t="str">
        <f t="shared" si="89"/>
        <v>Outlier</v>
      </c>
    </row>
    <row r="928" spans="1:23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  <c r="Q928" t="str">
        <f>IF(COUNTIF($A$2:A928,A928)&gt;1,"Duplicate","Unique")</f>
        <v>Unique</v>
      </c>
      <c r="R928" t="str">
        <f t="shared" si="84"/>
        <v>Valid</v>
      </c>
      <c r="S928" t="str">
        <f t="shared" si="85"/>
        <v>Valid</v>
      </c>
      <c r="T928" t="str">
        <f t="shared" si="86"/>
        <v>Valid</v>
      </c>
      <c r="U928" t="str">
        <f t="shared" si="87"/>
        <v>Valid</v>
      </c>
      <c r="V928" t="str">
        <f t="shared" si="88"/>
        <v>Valid</v>
      </c>
      <c r="W928" t="str">
        <f t="shared" si="89"/>
        <v>Outlier</v>
      </c>
    </row>
    <row r="929" spans="1:23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  <c r="Q929" t="str">
        <f>IF(COUNTIF($A$2:A929,A929)&gt;1,"Duplicate","Unique")</f>
        <v>Unique</v>
      </c>
      <c r="R929" t="str">
        <f t="shared" si="84"/>
        <v>Valid</v>
      </c>
      <c r="S929" t="str">
        <f t="shared" si="85"/>
        <v>Valid</v>
      </c>
      <c r="T929" t="str">
        <f t="shared" si="86"/>
        <v>Valid</v>
      </c>
      <c r="U929" t="str">
        <f t="shared" si="87"/>
        <v>Valid</v>
      </c>
      <c r="V929" t="str">
        <f t="shared" si="88"/>
        <v>Valid</v>
      </c>
      <c r="W929" t="str">
        <f t="shared" si="89"/>
        <v>Outlier</v>
      </c>
    </row>
    <row r="930" spans="1:23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  <c r="Q930" t="str">
        <f>IF(COUNTIF($A$2:A930,A930)&gt;1,"Duplicate","Unique")</f>
        <v>Unique</v>
      </c>
      <c r="R930" t="str">
        <f t="shared" si="84"/>
        <v>Valid</v>
      </c>
      <c r="S930" t="str">
        <f t="shared" si="85"/>
        <v>Valid</v>
      </c>
      <c r="T930" t="str">
        <f t="shared" si="86"/>
        <v>Valid</v>
      </c>
      <c r="U930" t="str">
        <f t="shared" si="87"/>
        <v>Valid</v>
      </c>
      <c r="V930" t="str">
        <f t="shared" si="88"/>
        <v>Valid</v>
      </c>
      <c r="W930" t="str">
        <f t="shared" si="89"/>
        <v>Outlier</v>
      </c>
    </row>
    <row r="931" spans="1:23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  <c r="Q931" t="str">
        <f>IF(COUNTIF($A$2:A931,A931)&gt;1,"Duplicate","Unique")</f>
        <v>Unique</v>
      </c>
      <c r="R931" t="str">
        <f t="shared" si="84"/>
        <v>Valid</v>
      </c>
      <c r="S931" t="str">
        <f t="shared" si="85"/>
        <v>Valid</v>
      </c>
      <c r="T931" t="str">
        <f t="shared" si="86"/>
        <v>Valid</v>
      </c>
      <c r="U931" t="str">
        <f t="shared" si="87"/>
        <v>Valid</v>
      </c>
      <c r="V931" t="str">
        <f t="shared" si="88"/>
        <v>Valid</v>
      </c>
      <c r="W931" t="str">
        <f t="shared" si="89"/>
        <v>Outlier</v>
      </c>
    </row>
    <row r="932" spans="1:23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  <c r="Q932" t="str">
        <f>IF(COUNTIF($A$2:A932,A932)&gt;1,"Duplicate","Unique")</f>
        <v>Unique</v>
      </c>
      <c r="R932" t="str">
        <f t="shared" si="84"/>
        <v>Valid</v>
      </c>
      <c r="S932" t="str">
        <f t="shared" si="85"/>
        <v>Valid</v>
      </c>
      <c r="T932" t="str">
        <f t="shared" si="86"/>
        <v>Valid</v>
      </c>
      <c r="U932" t="str">
        <f t="shared" si="87"/>
        <v>Valid</v>
      </c>
      <c r="V932" t="str">
        <f t="shared" si="88"/>
        <v>Valid</v>
      </c>
      <c r="W932" t="str">
        <f t="shared" si="89"/>
        <v>Outlier</v>
      </c>
    </row>
    <row r="933" spans="1:23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  <c r="Q933" t="str">
        <f>IF(COUNTIF($A$2:A933,A933)&gt;1,"Duplicate","Unique")</f>
        <v>Unique</v>
      </c>
      <c r="R933" t="str">
        <f t="shared" si="84"/>
        <v>Valid</v>
      </c>
      <c r="S933" t="str">
        <f t="shared" si="85"/>
        <v>Valid</v>
      </c>
      <c r="T933" t="str">
        <f t="shared" si="86"/>
        <v>Valid</v>
      </c>
      <c r="U933" t="str">
        <f t="shared" si="87"/>
        <v>Valid</v>
      </c>
      <c r="V933" t="str">
        <f t="shared" si="88"/>
        <v>Valid</v>
      </c>
      <c r="W933" t="str">
        <f t="shared" si="89"/>
        <v>Outlier</v>
      </c>
    </row>
    <row r="934" spans="1:23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  <c r="Q934" t="str">
        <f>IF(COUNTIF($A$2:A934,A934)&gt;1,"Duplicate","Unique")</f>
        <v>Unique</v>
      </c>
      <c r="R934" t="str">
        <f t="shared" si="84"/>
        <v>Valid</v>
      </c>
      <c r="S934" t="str">
        <f t="shared" si="85"/>
        <v>Valid</v>
      </c>
      <c r="T934" t="str">
        <f t="shared" si="86"/>
        <v>Valid</v>
      </c>
      <c r="U934" t="str">
        <f t="shared" si="87"/>
        <v>Valid</v>
      </c>
      <c r="V934" t="str">
        <f t="shared" si="88"/>
        <v>Valid</v>
      </c>
      <c r="W934" t="str">
        <f t="shared" si="89"/>
        <v>Outlier</v>
      </c>
    </row>
    <row r="935" spans="1:23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  <c r="Q935" t="str">
        <f>IF(COUNTIF($A$2:A935,A935)&gt;1,"Duplicate","Unique")</f>
        <v>Unique</v>
      </c>
      <c r="R935" t="str">
        <f t="shared" si="84"/>
        <v>Valid</v>
      </c>
      <c r="S935" t="str">
        <f t="shared" si="85"/>
        <v>Valid</v>
      </c>
      <c r="T935" t="str">
        <f t="shared" si="86"/>
        <v>Valid</v>
      </c>
      <c r="U935" t="str">
        <f t="shared" si="87"/>
        <v>Valid</v>
      </c>
      <c r="V935" t="str">
        <f t="shared" si="88"/>
        <v>Valid</v>
      </c>
      <c r="W935" t="str">
        <f t="shared" si="89"/>
        <v>Outlier</v>
      </c>
    </row>
    <row r="936" spans="1:23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  <c r="Q936" t="str">
        <f>IF(COUNTIF($A$2:A936,A936)&gt;1,"Duplicate","Unique")</f>
        <v>Unique</v>
      </c>
      <c r="R936" t="str">
        <f t="shared" si="84"/>
        <v>Valid</v>
      </c>
      <c r="S936" t="str">
        <f t="shared" si="85"/>
        <v>Valid</v>
      </c>
      <c r="T936" t="str">
        <f t="shared" si="86"/>
        <v>Valid</v>
      </c>
      <c r="U936" t="str">
        <f t="shared" si="87"/>
        <v>Valid</v>
      </c>
      <c r="V936" t="str">
        <f t="shared" si="88"/>
        <v>Valid</v>
      </c>
      <c r="W936" t="str">
        <f t="shared" si="89"/>
        <v>Outlier</v>
      </c>
    </row>
    <row r="937" spans="1:23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  <c r="Q937" t="str">
        <f>IF(COUNTIF($A$2:A937,A937)&gt;1,"Duplicate","Unique")</f>
        <v>Unique</v>
      </c>
      <c r="R937" t="str">
        <f t="shared" si="84"/>
        <v>Valid</v>
      </c>
      <c r="S937" t="str">
        <f t="shared" si="85"/>
        <v>Valid</v>
      </c>
      <c r="T937" t="str">
        <f t="shared" si="86"/>
        <v>Valid</v>
      </c>
      <c r="U937" t="str">
        <f t="shared" si="87"/>
        <v>Valid</v>
      </c>
      <c r="V937" t="str">
        <f t="shared" si="88"/>
        <v>Valid</v>
      </c>
      <c r="W937" t="str">
        <f t="shared" si="89"/>
        <v>Outlier</v>
      </c>
    </row>
    <row r="938" spans="1:23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  <c r="Q938" t="str">
        <f>IF(COUNTIF($A$2:A938,A938)&gt;1,"Duplicate","Unique")</f>
        <v>Unique</v>
      </c>
      <c r="R938" t="str">
        <f t="shared" si="84"/>
        <v>Valid</v>
      </c>
      <c r="S938" t="str">
        <f t="shared" si="85"/>
        <v>Valid</v>
      </c>
      <c r="T938" t="str">
        <f t="shared" si="86"/>
        <v>Valid</v>
      </c>
      <c r="U938" t="str">
        <f t="shared" si="87"/>
        <v>Valid</v>
      </c>
      <c r="V938" t="str">
        <f t="shared" si="88"/>
        <v>Valid</v>
      </c>
      <c r="W938" t="str">
        <f t="shared" si="89"/>
        <v>Outlier</v>
      </c>
    </row>
    <row r="939" spans="1:23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  <c r="Q939" t="str">
        <f>IF(COUNTIF($A$2:A939,A939)&gt;1,"Duplicate","Unique")</f>
        <v>Unique</v>
      </c>
      <c r="R939" t="str">
        <f t="shared" si="84"/>
        <v>Valid</v>
      </c>
      <c r="S939" t="str">
        <f t="shared" si="85"/>
        <v>Valid</v>
      </c>
      <c r="T939" t="str">
        <f t="shared" si="86"/>
        <v>Valid</v>
      </c>
      <c r="U939" t="str">
        <f t="shared" si="87"/>
        <v>Valid</v>
      </c>
      <c r="V939" t="str">
        <f t="shared" si="88"/>
        <v>Valid</v>
      </c>
      <c r="W939" t="str">
        <f t="shared" si="89"/>
        <v>Outlier</v>
      </c>
    </row>
    <row r="940" spans="1:23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  <c r="Q940" t="str">
        <f>IF(COUNTIF($A$2:A940,A940)&gt;1,"Duplicate","Unique")</f>
        <v>Unique</v>
      </c>
      <c r="R940" t="str">
        <f t="shared" si="84"/>
        <v>Valid</v>
      </c>
      <c r="S940" t="str">
        <f t="shared" si="85"/>
        <v>Valid</v>
      </c>
      <c r="T940" t="str">
        <f t="shared" si="86"/>
        <v>Valid</v>
      </c>
      <c r="U940" t="str">
        <f t="shared" si="87"/>
        <v>Valid</v>
      </c>
      <c r="V940" t="str">
        <f t="shared" si="88"/>
        <v>Valid</v>
      </c>
      <c r="W940" t="str">
        <f t="shared" si="89"/>
        <v>Outlier</v>
      </c>
    </row>
    <row r="941" spans="1:23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  <c r="Q941" t="str">
        <f>IF(COUNTIF($A$2:A941,A941)&gt;1,"Duplicate","Unique")</f>
        <v>Unique</v>
      </c>
      <c r="R941" t="str">
        <f t="shared" si="84"/>
        <v>Valid</v>
      </c>
      <c r="S941" t="str">
        <f t="shared" si="85"/>
        <v>Valid</v>
      </c>
      <c r="T941" t="str">
        <f t="shared" si="86"/>
        <v>Valid</v>
      </c>
      <c r="U941" t="str">
        <f t="shared" si="87"/>
        <v>Valid</v>
      </c>
      <c r="V941" t="str">
        <f t="shared" si="88"/>
        <v>Valid</v>
      </c>
      <c r="W941" t="str">
        <f t="shared" si="89"/>
        <v>Outlier</v>
      </c>
    </row>
    <row r="942" spans="1:23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  <c r="Q942" t="str">
        <f>IF(COUNTIF($A$2:A942,A942)&gt;1,"Duplicate","Unique")</f>
        <v>Unique</v>
      </c>
      <c r="R942" t="str">
        <f t="shared" si="84"/>
        <v>Valid</v>
      </c>
      <c r="S942" t="str">
        <f t="shared" si="85"/>
        <v>Valid</v>
      </c>
      <c r="T942" t="str">
        <f t="shared" si="86"/>
        <v>Valid</v>
      </c>
      <c r="U942" t="str">
        <f t="shared" si="87"/>
        <v>Valid</v>
      </c>
      <c r="V942" t="str">
        <f t="shared" si="88"/>
        <v>Valid</v>
      </c>
      <c r="W942" t="str">
        <f t="shared" si="89"/>
        <v>Outlier</v>
      </c>
    </row>
    <row r="943" spans="1:23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  <c r="Q943" t="str">
        <f>IF(COUNTIF($A$2:A943,A943)&gt;1,"Duplicate","Unique")</f>
        <v>Unique</v>
      </c>
      <c r="R943" t="str">
        <f t="shared" si="84"/>
        <v>Valid</v>
      </c>
      <c r="S943" t="str">
        <f t="shared" si="85"/>
        <v>Valid</v>
      </c>
      <c r="T943" t="str">
        <f t="shared" si="86"/>
        <v>Valid</v>
      </c>
      <c r="U943" t="str">
        <f t="shared" si="87"/>
        <v>Valid</v>
      </c>
      <c r="V943" t="str">
        <f t="shared" si="88"/>
        <v>Valid</v>
      </c>
      <c r="W943" t="str">
        <f t="shared" si="89"/>
        <v>Outlier</v>
      </c>
    </row>
    <row r="944" spans="1:23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  <c r="Q944" t="str">
        <f>IF(COUNTIF($A$2:A944,A944)&gt;1,"Duplicate","Unique")</f>
        <v>Unique</v>
      </c>
      <c r="R944" t="str">
        <f t="shared" si="84"/>
        <v>Valid</v>
      </c>
      <c r="S944" t="str">
        <f t="shared" si="85"/>
        <v>Valid</v>
      </c>
      <c r="T944" t="str">
        <f t="shared" si="86"/>
        <v>Valid</v>
      </c>
      <c r="U944" t="str">
        <f t="shared" si="87"/>
        <v>Valid</v>
      </c>
      <c r="V944" t="str">
        <f t="shared" si="88"/>
        <v>Valid</v>
      </c>
      <c r="W944" t="str">
        <f t="shared" si="89"/>
        <v>Outlier</v>
      </c>
    </row>
    <row r="945" spans="1:23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  <c r="Q945" t="str">
        <f>IF(COUNTIF($A$2:A945,A945)&gt;1,"Duplicate","Unique")</f>
        <v>Unique</v>
      </c>
      <c r="R945" t="str">
        <f t="shared" si="84"/>
        <v>Valid</v>
      </c>
      <c r="S945" t="str">
        <f t="shared" si="85"/>
        <v>Valid</v>
      </c>
      <c r="T945" t="str">
        <f t="shared" si="86"/>
        <v>Valid</v>
      </c>
      <c r="U945" t="str">
        <f t="shared" si="87"/>
        <v>Valid</v>
      </c>
      <c r="V945" t="str">
        <f t="shared" si="88"/>
        <v>Valid</v>
      </c>
      <c r="W945" t="str">
        <f t="shared" si="89"/>
        <v>Outlier</v>
      </c>
    </row>
    <row r="946" spans="1:23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  <c r="Q946" t="str">
        <f>IF(COUNTIF($A$2:A946,A946)&gt;1,"Duplicate","Unique")</f>
        <v>Unique</v>
      </c>
      <c r="R946" t="str">
        <f t="shared" si="84"/>
        <v>Valid</v>
      </c>
      <c r="S946" t="str">
        <f t="shared" si="85"/>
        <v>Valid</v>
      </c>
      <c r="T946" t="str">
        <f t="shared" si="86"/>
        <v>Valid</v>
      </c>
      <c r="U946" t="str">
        <f t="shared" si="87"/>
        <v>Valid</v>
      </c>
      <c r="V946" t="str">
        <f t="shared" si="88"/>
        <v>Valid</v>
      </c>
      <c r="W946" t="str">
        <f t="shared" si="89"/>
        <v>Outlier</v>
      </c>
    </row>
    <row r="947" spans="1:23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  <c r="Q947" t="str">
        <f>IF(COUNTIF($A$2:A947,A947)&gt;1,"Duplicate","Unique")</f>
        <v>Unique</v>
      </c>
      <c r="R947" t="str">
        <f t="shared" si="84"/>
        <v>Valid</v>
      </c>
      <c r="S947" t="str">
        <f t="shared" si="85"/>
        <v>Valid</v>
      </c>
      <c r="T947" t="str">
        <f t="shared" si="86"/>
        <v>Valid</v>
      </c>
      <c r="U947" t="str">
        <f t="shared" si="87"/>
        <v>Valid</v>
      </c>
      <c r="V947" t="str">
        <f t="shared" si="88"/>
        <v>Valid</v>
      </c>
      <c r="W947" t="str">
        <f t="shared" si="89"/>
        <v>Outlier</v>
      </c>
    </row>
    <row r="948" spans="1:23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  <c r="Q948" t="str">
        <f>IF(COUNTIF($A$2:A948,A948)&gt;1,"Duplicate","Unique")</f>
        <v>Unique</v>
      </c>
      <c r="R948" t="str">
        <f t="shared" si="84"/>
        <v>Valid</v>
      </c>
      <c r="S948" t="str">
        <f t="shared" si="85"/>
        <v>Valid</v>
      </c>
      <c r="T948" t="str">
        <f t="shared" si="86"/>
        <v>Valid</v>
      </c>
      <c r="U948" t="str">
        <f t="shared" si="87"/>
        <v>Valid</v>
      </c>
      <c r="V948" t="str">
        <f t="shared" si="88"/>
        <v>Valid</v>
      </c>
      <c r="W948" t="str">
        <f t="shared" si="89"/>
        <v>Outlier</v>
      </c>
    </row>
    <row r="949" spans="1:23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  <c r="Q949" t="str">
        <f>IF(COUNTIF($A$2:A949,A949)&gt;1,"Duplicate","Unique")</f>
        <v>Unique</v>
      </c>
      <c r="R949" t="str">
        <f t="shared" si="84"/>
        <v>Valid</v>
      </c>
      <c r="S949" t="str">
        <f t="shared" si="85"/>
        <v>Valid</v>
      </c>
      <c r="T949" t="str">
        <f t="shared" si="86"/>
        <v>Valid</v>
      </c>
      <c r="U949" t="str">
        <f t="shared" si="87"/>
        <v>Valid</v>
      </c>
      <c r="V949" t="str">
        <f t="shared" si="88"/>
        <v>Valid</v>
      </c>
      <c r="W949" t="str">
        <f t="shared" si="89"/>
        <v>Outlier</v>
      </c>
    </row>
    <row r="950" spans="1:23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  <c r="Q950" t="str">
        <f>IF(COUNTIF($A$2:A950,A950)&gt;1,"Duplicate","Unique")</f>
        <v>Unique</v>
      </c>
      <c r="R950" t="str">
        <f t="shared" si="84"/>
        <v>Valid</v>
      </c>
      <c r="S950" t="str">
        <f t="shared" si="85"/>
        <v>Valid</v>
      </c>
      <c r="T950" t="str">
        <f t="shared" si="86"/>
        <v>Valid</v>
      </c>
      <c r="U950" t="str">
        <f t="shared" si="87"/>
        <v>Valid</v>
      </c>
      <c r="V950" t="str">
        <f t="shared" si="88"/>
        <v>Valid</v>
      </c>
      <c r="W950" t="str">
        <f t="shared" si="89"/>
        <v>Outlier</v>
      </c>
    </row>
    <row r="951" spans="1:23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  <c r="Q951" t="str">
        <f>IF(COUNTIF($A$2:A951,A951)&gt;1,"Duplicate","Unique")</f>
        <v>Unique</v>
      </c>
      <c r="R951" t="str">
        <f t="shared" si="84"/>
        <v>Valid</v>
      </c>
      <c r="S951" t="str">
        <f t="shared" si="85"/>
        <v>Valid</v>
      </c>
      <c r="T951" t="str">
        <f t="shared" si="86"/>
        <v>Valid</v>
      </c>
      <c r="U951" t="str">
        <f t="shared" si="87"/>
        <v>Valid</v>
      </c>
      <c r="V951" t="str">
        <f t="shared" si="88"/>
        <v>Valid</v>
      </c>
      <c r="W951" t="str">
        <f t="shared" si="89"/>
        <v>Outlier</v>
      </c>
    </row>
    <row r="952" spans="1:23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  <c r="Q952" t="str">
        <f>IF(COUNTIF($A$2:A952,A952)&gt;1,"Duplicate","Unique")</f>
        <v>Unique</v>
      </c>
      <c r="R952" t="str">
        <f t="shared" si="84"/>
        <v>Valid</v>
      </c>
      <c r="S952" t="str">
        <f t="shared" si="85"/>
        <v>Valid</v>
      </c>
      <c r="T952" t="str">
        <f t="shared" si="86"/>
        <v>Valid</v>
      </c>
      <c r="U952" t="str">
        <f t="shared" si="87"/>
        <v>Valid</v>
      </c>
      <c r="V952" t="str">
        <f t="shared" si="88"/>
        <v>Valid</v>
      </c>
      <c r="W952" t="str">
        <f t="shared" si="89"/>
        <v>Outlier</v>
      </c>
    </row>
    <row r="953" spans="1:23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  <c r="Q953" t="str">
        <f>IF(COUNTIF($A$2:A953,A953)&gt;1,"Duplicate","Unique")</f>
        <v>Unique</v>
      </c>
      <c r="R953" t="str">
        <f t="shared" si="84"/>
        <v>Valid</v>
      </c>
      <c r="S953" t="str">
        <f t="shared" si="85"/>
        <v>Valid</v>
      </c>
      <c r="T953" t="str">
        <f t="shared" si="86"/>
        <v>Valid</v>
      </c>
      <c r="U953" t="str">
        <f t="shared" si="87"/>
        <v>Valid</v>
      </c>
      <c r="V953" t="str">
        <f t="shared" si="88"/>
        <v>Valid</v>
      </c>
      <c r="W953" t="str">
        <f t="shared" si="89"/>
        <v>Outlier</v>
      </c>
    </row>
    <row r="954" spans="1:23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  <c r="Q954" t="str">
        <f>IF(COUNTIF($A$2:A954,A954)&gt;1,"Duplicate","Unique")</f>
        <v>Unique</v>
      </c>
      <c r="R954" t="str">
        <f t="shared" si="84"/>
        <v>Valid</v>
      </c>
      <c r="S954" t="str">
        <f t="shared" si="85"/>
        <v>Valid</v>
      </c>
      <c r="T954" t="str">
        <f t="shared" si="86"/>
        <v>Valid</v>
      </c>
      <c r="U954" t="str">
        <f t="shared" si="87"/>
        <v>Valid</v>
      </c>
      <c r="V954" t="str">
        <f t="shared" si="88"/>
        <v>Valid</v>
      </c>
      <c r="W954" t="str">
        <f t="shared" si="89"/>
        <v>Outlier</v>
      </c>
    </row>
    <row r="955" spans="1:23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  <c r="Q955" t="str">
        <f>IF(COUNTIF($A$2:A955,A955)&gt;1,"Duplicate","Unique")</f>
        <v>Unique</v>
      </c>
      <c r="R955" t="str">
        <f t="shared" si="84"/>
        <v>Valid</v>
      </c>
      <c r="S955" t="str">
        <f t="shared" si="85"/>
        <v>Valid</v>
      </c>
      <c r="T955" t="str">
        <f t="shared" si="86"/>
        <v>Valid</v>
      </c>
      <c r="U955" t="str">
        <f t="shared" si="87"/>
        <v>Valid</v>
      </c>
      <c r="V955" t="str">
        <f t="shared" si="88"/>
        <v>Valid</v>
      </c>
      <c r="W955" t="str">
        <f t="shared" si="89"/>
        <v>Outlier</v>
      </c>
    </row>
    <row r="956" spans="1:23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  <c r="Q956" t="str">
        <f>IF(COUNTIF($A$2:A956,A956)&gt;1,"Duplicate","Unique")</f>
        <v>Unique</v>
      </c>
      <c r="R956" t="str">
        <f t="shared" si="84"/>
        <v>Valid</v>
      </c>
      <c r="S956" t="str">
        <f t="shared" si="85"/>
        <v>Valid</v>
      </c>
      <c r="T956" t="str">
        <f t="shared" si="86"/>
        <v>Valid</v>
      </c>
      <c r="U956" t="str">
        <f t="shared" si="87"/>
        <v>Valid</v>
      </c>
      <c r="V956" t="str">
        <f t="shared" si="88"/>
        <v>Valid</v>
      </c>
      <c r="W956" t="str">
        <f t="shared" si="89"/>
        <v>Outlier</v>
      </c>
    </row>
    <row r="957" spans="1:23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  <c r="Q957" t="str">
        <f>IF(COUNTIF($A$2:A957,A957)&gt;1,"Duplicate","Unique")</f>
        <v>Unique</v>
      </c>
      <c r="R957" t="str">
        <f t="shared" si="84"/>
        <v>Valid</v>
      </c>
      <c r="S957" t="str">
        <f t="shared" si="85"/>
        <v>Valid</v>
      </c>
      <c r="T957" t="str">
        <f t="shared" si="86"/>
        <v>Valid</v>
      </c>
      <c r="U957" t="str">
        <f t="shared" si="87"/>
        <v>Valid</v>
      </c>
      <c r="V957" t="str">
        <f t="shared" si="88"/>
        <v>Valid</v>
      </c>
      <c r="W957" t="str">
        <f t="shared" si="89"/>
        <v>Outlier</v>
      </c>
    </row>
    <row r="958" spans="1:23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  <c r="Q958" t="str">
        <f>IF(COUNTIF($A$2:A958,A958)&gt;1,"Duplicate","Unique")</f>
        <v>Unique</v>
      </c>
      <c r="R958" t="str">
        <f t="shared" si="84"/>
        <v>Valid</v>
      </c>
      <c r="S958" t="str">
        <f t="shared" si="85"/>
        <v>Valid</v>
      </c>
      <c r="T958" t="str">
        <f t="shared" si="86"/>
        <v>Valid</v>
      </c>
      <c r="U958" t="str">
        <f t="shared" si="87"/>
        <v>Valid</v>
      </c>
      <c r="V958" t="str">
        <f t="shared" si="88"/>
        <v>Valid</v>
      </c>
      <c r="W958" t="str">
        <f t="shared" si="89"/>
        <v>Outlier</v>
      </c>
    </row>
    <row r="959" spans="1:23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  <c r="Q959" t="str">
        <f>IF(COUNTIF($A$2:A959,A959)&gt;1,"Duplicate","Unique")</f>
        <v>Unique</v>
      </c>
      <c r="R959" t="str">
        <f t="shared" si="84"/>
        <v>Valid</v>
      </c>
      <c r="S959" t="str">
        <f t="shared" si="85"/>
        <v>Valid</v>
      </c>
      <c r="T959" t="str">
        <f t="shared" si="86"/>
        <v>Valid</v>
      </c>
      <c r="U959" t="str">
        <f t="shared" si="87"/>
        <v>Valid</v>
      </c>
      <c r="V959" t="str">
        <f t="shared" si="88"/>
        <v>Valid</v>
      </c>
      <c r="W959" t="str">
        <f t="shared" si="89"/>
        <v>Outlier</v>
      </c>
    </row>
    <row r="960" spans="1:23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  <c r="Q960" t="str">
        <f>IF(COUNTIF($A$2:A960,A960)&gt;1,"Duplicate","Unique")</f>
        <v>Unique</v>
      </c>
      <c r="R960" t="str">
        <f t="shared" si="84"/>
        <v>Valid</v>
      </c>
      <c r="S960" t="str">
        <f t="shared" si="85"/>
        <v>Valid</v>
      </c>
      <c r="T960" t="str">
        <f t="shared" si="86"/>
        <v>Valid</v>
      </c>
      <c r="U960" t="str">
        <f t="shared" si="87"/>
        <v>Valid</v>
      </c>
      <c r="V960" t="str">
        <f t="shared" si="88"/>
        <v>Valid</v>
      </c>
      <c r="W960" t="str">
        <f t="shared" si="89"/>
        <v>Outlier</v>
      </c>
    </row>
    <row r="961" spans="1:23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  <c r="Q961" t="str">
        <f>IF(COUNTIF($A$2:A961,A961)&gt;1,"Duplicate","Unique")</f>
        <v>Unique</v>
      </c>
      <c r="R961" t="str">
        <f t="shared" si="84"/>
        <v>Valid</v>
      </c>
      <c r="S961" t="str">
        <f t="shared" si="85"/>
        <v>Valid</v>
      </c>
      <c r="T961" t="str">
        <f t="shared" si="86"/>
        <v>Valid</v>
      </c>
      <c r="U961" t="str">
        <f t="shared" si="87"/>
        <v>Valid</v>
      </c>
      <c r="V961" t="str">
        <f t="shared" si="88"/>
        <v>Valid</v>
      </c>
      <c r="W961" t="str">
        <f t="shared" si="89"/>
        <v>Outlier</v>
      </c>
    </row>
    <row r="962" spans="1:23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  <c r="Q962" t="str">
        <f>IF(COUNTIF($A$2:A962,A962)&gt;1,"Duplicate","Unique")</f>
        <v>Unique</v>
      </c>
      <c r="R962" t="str">
        <f t="shared" si="84"/>
        <v>Valid</v>
      </c>
      <c r="S962" t="str">
        <f t="shared" si="85"/>
        <v>Valid</v>
      </c>
      <c r="T962" t="str">
        <f t="shared" si="86"/>
        <v>Valid</v>
      </c>
      <c r="U962" t="str">
        <f t="shared" si="87"/>
        <v>Valid</v>
      </c>
      <c r="V962" t="str">
        <f t="shared" si="88"/>
        <v>Valid</v>
      </c>
      <c r="W962" t="str">
        <f t="shared" si="89"/>
        <v>Outlier</v>
      </c>
    </row>
    <row r="963" spans="1:23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  <c r="Q963" t="str">
        <f>IF(COUNTIF($A$2:A963,A963)&gt;1,"Duplicate","Unique")</f>
        <v>Unique</v>
      </c>
      <c r="R963" t="str">
        <f t="shared" ref="R963:R1026" si="90">IF(OR(H963=0,H963=1),"Valid","Invalid")</f>
        <v>Valid</v>
      </c>
      <c r="S963" t="str">
        <f t="shared" ref="S963:S1026" si="91">IF(OR(I963=0,I963=1),"Valid","Invalid")</f>
        <v>Valid</v>
      </c>
      <c r="T963" t="str">
        <f t="shared" ref="T963:T1026" si="92">IF(OR(J963=0,J963=1),"Valid","Invalid")</f>
        <v>Valid</v>
      </c>
      <c r="U963" t="str">
        <f t="shared" ref="U963:U1026" si="93">IF(OR(K963=0,K963=1),"Valid","Invalid")</f>
        <v>Valid</v>
      </c>
      <c r="V963" t="str">
        <f t="shared" ref="V963:V1026" si="94">IF(OR(N963=0,N963=1),"Valid","Invalid")</f>
        <v>Valid</v>
      </c>
      <c r="W963" t="str">
        <f t="shared" ref="W963:W1026" si="95">IF(OR(L963&lt;$B$23,L963&gt;$B$24),"Outlier","Normal")</f>
        <v>Outlier</v>
      </c>
    </row>
    <row r="964" spans="1:23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  <c r="Q964" t="str">
        <f>IF(COUNTIF($A$2:A964,A964)&gt;1,"Duplicate","Unique")</f>
        <v>Unique</v>
      </c>
      <c r="R964" t="str">
        <f t="shared" si="90"/>
        <v>Valid</v>
      </c>
      <c r="S964" t="str">
        <f t="shared" si="91"/>
        <v>Valid</v>
      </c>
      <c r="T964" t="str">
        <f t="shared" si="92"/>
        <v>Valid</v>
      </c>
      <c r="U964" t="str">
        <f t="shared" si="93"/>
        <v>Valid</v>
      </c>
      <c r="V964" t="str">
        <f t="shared" si="94"/>
        <v>Valid</v>
      </c>
      <c r="W964" t="str">
        <f t="shared" si="95"/>
        <v>Outlier</v>
      </c>
    </row>
    <row r="965" spans="1:23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  <c r="Q965" t="str">
        <f>IF(COUNTIF($A$2:A965,A965)&gt;1,"Duplicate","Unique")</f>
        <v>Unique</v>
      </c>
      <c r="R965" t="str">
        <f t="shared" si="90"/>
        <v>Valid</v>
      </c>
      <c r="S965" t="str">
        <f t="shared" si="91"/>
        <v>Valid</v>
      </c>
      <c r="T965" t="str">
        <f t="shared" si="92"/>
        <v>Valid</v>
      </c>
      <c r="U965" t="str">
        <f t="shared" si="93"/>
        <v>Valid</v>
      </c>
      <c r="V965" t="str">
        <f t="shared" si="94"/>
        <v>Valid</v>
      </c>
      <c r="W965" t="str">
        <f t="shared" si="95"/>
        <v>Outlier</v>
      </c>
    </row>
    <row r="966" spans="1:23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  <c r="Q966" t="str">
        <f>IF(COUNTIF($A$2:A966,A966)&gt;1,"Duplicate","Unique")</f>
        <v>Unique</v>
      </c>
      <c r="R966" t="str">
        <f t="shared" si="90"/>
        <v>Valid</v>
      </c>
      <c r="S966" t="str">
        <f t="shared" si="91"/>
        <v>Valid</v>
      </c>
      <c r="T966" t="str">
        <f t="shared" si="92"/>
        <v>Valid</v>
      </c>
      <c r="U966" t="str">
        <f t="shared" si="93"/>
        <v>Valid</v>
      </c>
      <c r="V966" t="str">
        <f t="shared" si="94"/>
        <v>Valid</v>
      </c>
      <c r="W966" t="str">
        <f t="shared" si="95"/>
        <v>Outlier</v>
      </c>
    </row>
    <row r="967" spans="1:23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  <c r="Q967" t="str">
        <f>IF(COUNTIF($A$2:A967,A967)&gt;1,"Duplicate","Unique")</f>
        <v>Unique</v>
      </c>
      <c r="R967" t="str">
        <f t="shared" si="90"/>
        <v>Valid</v>
      </c>
      <c r="S967" t="str">
        <f t="shared" si="91"/>
        <v>Valid</v>
      </c>
      <c r="T967" t="str">
        <f t="shared" si="92"/>
        <v>Valid</v>
      </c>
      <c r="U967" t="str">
        <f t="shared" si="93"/>
        <v>Valid</v>
      </c>
      <c r="V967" t="str">
        <f t="shared" si="94"/>
        <v>Valid</v>
      </c>
      <c r="W967" t="str">
        <f t="shared" si="95"/>
        <v>Outlier</v>
      </c>
    </row>
    <row r="968" spans="1:23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  <c r="Q968" t="str">
        <f>IF(COUNTIF($A$2:A968,A968)&gt;1,"Duplicate","Unique")</f>
        <v>Unique</v>
      </c>
      <c r="R968" t="str">
        <f t="shared" si="90"/>
        <v>Valid</v>
      </c>
      <c r="S968" t="str">
        <f t="shared" si="91"/>
        <v>Valid</v>
      </c>
      <c r="T968" t="str">
        <f t="shared" si="92"/>
        <v>Valid</v>
      </c>
      <c r="U968" t="str">
        <f t="shared" si="93"/>
        <v>Valid</v>
      </c>
      <c r="V968" t="str">
        <f t="shared" si="94"/>
        <v>Valid</v>
      </c>
      <c r="W968" t="str">
        <f t="shared" si="95"/>
        <v>Outlier</v>
      </c>
    </row>
    <row r="969" spans="1:23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  <c r="Q969" t="str">
        <f>IF(COUNTIF($A$2:A969,A969)&gt;1,"Duplicate","Unique")</f>
        <v>Unique</v>
      </c>
      <c r="R969" t="str">
        <f t="shared" si="90"/>
        <v>Valid</v>
      </c>
      <c r="S969" t="str">
        <f t="shared" si="91"/>
        <v>Valid</v>
      </c>
      <c r="T969" t="str">
        <f t="shared" si="92"/>
        <v>Valid</v>
      </c>
      <c r="U969" t="str">
        <f t="shared" si="93"/>
        <v>Valid</v>
      </c>
      <c r="V969" t="str">
        <f t="shared" si="94"/>
        <v>Valid</v>
      </c>
      <c r="W969" t="str">
        <f t="shared" si="95"/>
        <v>Outlier</v>
      </c>
    </row>
    <row r="970" spans="1:23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  <c r="Q970" t="str">
        <f>IF(COUNTIF($A$2:A970,A970)&gt;1,"Duplicate","Unique")</f>
        <v>Unique</v>
      </c>
      <c r="R970" t="str">
        <f t="shared" si="90"/>
        <v>Valid</v>
      </c>
      <c r="S970" t="str">
        <f t="shared" si="91"/>
        <v>Valid</v>
      </c>
      <c r="T970" t="str">
        <f t="shared" si="92"/>
        <v>Valid</v>
      </c>
      <c r="U970" t="str">
        <f t="shared" si="93"/>
        <v>Valid</v>
      </c>
      <c r="V970" t="str">
        <f t="shared" si="94"/>
        <v>Valid</v>
      </c>
      <c r="W970" t="str">
        <f t="shared" si="95"/>
        <v>Outlier</v>
      </c>
    </row>
    <row r="971" spans="1:23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  <c r="Q971" t="str">
        <f>IF(COUNTIF($A$2:A971,A971)&gt;1,"Duplicate","Unique")</f>
        <v>Unique</v>
      </c>
      <c r="R971" t="str">
        <f t="shared" si="90"/>
        <v>Valid</v>
      </c>
      <c r="S971" t="str">
        <f t="shared" si="91"/>
        <v>Valid</v>
      </c>
      <c r="T971" t="str">
        <f t="shared" si="92"/>
        <v>Valid</v>
      </c>
      <c r="U971" t="str">
        <f t="shared" si="93"/>
        <v>Valid</v>
      </c>
      <c r="V971" t="str">
        <f t="shared" si="94"/>
        <v>Valid</v>
      </c>
      <c r="W971" t="str">
        <f t="shared" si="95"/>
        <v>Outlier</v>
      </c>
    </row>
    <row r="972" spans="1:23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  <c r="Q972" t="str">
        <f>IF(COUNTIF($A$2:A972,A972)&gt;1,"Duplicate","Unique")</f>
        <v>Unique</v>
      </c>
      <c r="R972" t="str">
        <f t="shared" si="90"/>
        <v>Valid</v>
      </c>
      <c r="S972" t="str">
        <f t="shared" si="91"/>
        <v>Valid</v>
      </c>
      <c r="T972" t="str">
        <f t="shared" si="92"/>
        <v>Valid</v>
      </c>
      <c r="U972" t="str">
        <f t="shared" si="93"/>
        <v>Valid</v>
      </c>
      <c r="V972" t="str">
        <f t="shared" si="94"/>
        <v>Valid</v>
      </c>
      <c r="W972" t="str">
        <f t="shared" si="95"/>
        <v>Outlier</v>
      </c>
    </row>
    <row r="973" spans="1:23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  <c r="Q973" t="str">
        <f>IF(COUNTIF($A$2:A973,A973)&gt;1,"Duplicate","Unique")</f>
        <v>Unique</v>
      </c>
      <c r="R973" t="str">
        <f t="shared" si="90"/>
        <v>Valid</v>
      </c>
      <c r="S973" t="str">
        <f t="shared" si="91"/>
        <v>Valid</v>
      </c>
      <c r="T973" t="str">
        <f t="shared" si="92"/>
        <v>Valid</v>
      </c>
      <c r="U973" t="str">
        <f t="shared" si="93"/>
        <v>Valid</v>
      </c>
      <c r="V973" t="str">
        <f t="shared" si="94"/>
        <v>Valid</v>
      </c>
      <c r="W973" t="str">
        <f t="shared" si="95"/>
        <v>Outlier</v>
      </c>
    </row>
    <row r="974" spans="1:23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  <c r="Q974" t="str">
        <f>IF(COUNTIF($A$2:A974,A974)&gt;1,"Duplicate","Unique")</f>
        <v>Unique</v>
      </c>
      <c r="R974" t="str">
        <f t="shared" si="90"/>
        <v>Valid</v>
      </c>
      <c r="S974" t="str">
        <f t="shared" si="91"/>
        <v>Valid</v>
      </c>
      <c r="T974" t="str">
        <f t="shared" si="92"/>
        <v>Valid</v>
      </c>
      <c r="U974" t="str">
        <f t="shared" si="93"/>
        <v>Valid</v>
      </c>
      <c r="V974" t="str">
        <f t="shared" si="94"/>
        <v>Valid</v>
      </c>
      <c r="W974" t="str">
        <f t="shared" si="95"/>
        <v>Outlier</v>
      </c>
    </row>
    <row r="975" spans="1:23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  <c r="Q975" t="str">
        <f>IF(COUNTIF($A$2:A975,A975)&gt;1,"Duplicate","Unique")</f>
        <v>Unique</v>
      </c>
      <c r="R975" t="str">
        <f t="shared" si="90"/>
        <v>Valid</v>
      </c>
      <c r="S975" t="str">
        <f t="shared" si="91"/>
        <v>Valid</v>
      </c>
      <c r="T975" t="str">
        <f t="shared" si="92"/>
        <v>Valid</v>
      </c>
      <c r="U975" t="str">
        <f t="shared" si="93"/>
        <v>Valid</v>
      </c>
      <c r="V975" t="str">
        <f t="shared" si="94"/>
        <v>Valid</v>
      </c>
      <c r="W975" t="str">
        <f t="shared" si="95"/>
        <v>Outlier</v>
      </c>
    </row>
    <row r="976" spans="1:23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  <c r="Q976" t="str">
        <f>IF(COUNTIF($A$2:A976,A976)&gt;1,"Duplicate","Unique")</f>
        <v>Unique</v>
      </c>
      <c r="R976" t="str">
        <f t="shared" si="90"/>
        <v>Valid</v>
      </c>
      <c r="S976" t="str">
        <f t="shared" si="91"/>
        <v>Valid</v>
      </c>
      <c r="T976" t="str">
        <f t="shared" si="92"/>
        <v>Valid</v>
      </c>
      <c r="U976" t="str">
        <f t="shared" si="93"/>
        <v>Valid</v>
      </c>
      <c r="V976" t="str">
        <f t="shared" si="94"/>
        <v>Valid</v>
      </c>
      <c r="W976" t="str">
        <f t="shared" si="95"/>
        <v>Outlier</v>
      </c>
    </row>
    <row r="977" spans="1:23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  <c r="Q977" t="str">
        <f>IF(COUNTIF($A$2:A977,A977)&gt;1,"Duplicate","Unique")</f>
        <v>Unique</v>
      </c>
      <c r="R977" t="str">
        <f t="shared" si="90"/>
        <v>Valid</v>
      </c>
      <c r="S977" t="str">
        <f t="shared" si="91"/>
        <v>Valid</v>
      </c>
      <c r="T977" t="str">
        <f t="shared" si="92"/>
        <v>Valid</v>
      </c>
      <c r="U977" t="str">
        <f t="shared" si="93"/>
        <v>Valid</v>
      </c>
      <c r="V977" t="str">
        <f t="shared" si="94"/>
        <v>Valid</v>
      </c>
      <c r="W977" t="str">
        <f t="shared" si="95"/>
        <v>Outlier</v>
      </c>
    </row>
    <row r="978" spans="1:23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  <c r="Q978" t="str">
        <f>IF(COUNTIF($A$2:A978,A978)&gt;1,"Duplicate","Unique")</f>
        <v>Unique</v>
      </c>
      <c r="R978" t="str">
        <f t="shared" si="90"/>
        <v>Valid</v>
      </c>
      <c r="S978" t="str">
        <f t="shared" si="91"/>
        <v>Valid</v>
      </c>
      <c r="T978" t="str">
        <f t="shared" si="92"/>
        <v>Valid</v>
      </c>
      <c r="U978" t="str">
        <f t="shared" si="93"/>
        <v>Valid</v>
      </c>
      <c r="V978" t="str">
        <f t="shared" si="94"/>
        <v>Valid</v>
      </c>
      <c r="W978" t="str">
        <f t="shared" si="95"/>
        <v>Outlier</v>
      </c>
    </row>
    <row r="979" spans="1:23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  <c r="Q979" t="str">
        <f>IF(COUNTIF($A$2:A979,A979)&gt;1,"Duplicate","Unique")</f>
        <v>Unique</v>
      </c>
      <c r="R979" t="str">
        <f t="shared" si="90"/>
        <v>Valid</v>
      </c>
      <c r="S979" t="str">
        <f t="shared" si="91"/>
        <v>Valid</v>
      </c>
      <c r="T979" t="str">
        <f t="shared" si="92"/>
        <v>Valid</v>
      </c>
      <c r="U979" t="str">
        <f t="shared" si="93"/>
        <v>Valid</v>
      </c>
      <c r="V979" t="str">
        <f t="shared" si="94"/>
        <v>Valid</v>
      </c>
      <c r="W979" t="str">
        <f t="shared" si="95"/>
        <v>Outlier</v>
      </c>
    </row>
    <row r="980" spans="1:23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  <c r="Q980" t="str">
        <f>IF(COUNTIF($A$2:A980,A980)&gt;1,"Duplicate","Unique")</f>
        <v>Unique</v>
      </c>
      <c r="R980" t="str">
        <f t="shared" si="90"/>
        <v>Valid</v>
      </c>
      <c r="S980" t="str">
        <f t="shared" si="91"/>
        <v>Valid</v>
      </c>
      <c r="T980" t="str">
        <f t="shared" si="92"/>
        <v>Valid</v>
      </c>
      <c r="U980" t="str">
        <f t="shared" si="93"/>
        <v>Valid</v>
      </c>
      <c r="V980" t="str">
        <f t="shared" si="94"/>
        <v>Valid</v>
      </c>
      <c r="W980" t="str">
        <f t="shared" si="95"/>
        <v>Outlier</v>
      </c>
    </row>
    <row r="981" spans="1:23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  <c r="Q981" t="str">
        <f>IF(COUNTIF($A$2:A981,A981)&gt;1,"Duplicate","Unique")</f>
        <v>Unique</v>
      </c>
      <c r="R981" t="str">
        <f t="shared" si="90"/>
        <v>Valid</v>
      </c>
      <c r="S981" t="str">
        <f t="shared" si="91"/>
        <v>Valid</v>
      </c>
      <c r="T981" t="str">
        <f t="shared" si="92"/>
        <v>Valid</v>
      </c>
      <c r="U981" t="str">
        <f t="shared" si="93"/>
        <v>Valid</v>
      </c>
      <c r="V981" t="str">
        <f t="shared" si="94"/>
        <v>Valid</v>
      </c>
      <c r="W981" t="str">
        <f t="shared" si="95"/>
        <v>Outlier</v>
      </c>
    </row>
    <row r="982" spans="1:23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  <c r="Q982" t="str">
        <f>IF(COUNTIF($A$2:A982,A982)&gt;1,"Duplicate","Unique")</f>
        <v>Unique</v>
      </c>
      <c r="R982" t="str">
        <f t="shared" si="90"/>
        <v>Valid</v>
      </c>
      <c r="S982" t="str">
        <f t="shared" si="91"/>
        <v>Valid</v>
      </c>
      <c r="T982" t="str">
        <f t="shared" si="92"/>
        <v>Valid</v>
      </c>
      <c r="U982" t="str">
        <f t="shared" si="93"/>
        <v>Valid</v>
      </c>
      <c r="V982" t="str">
        <f t="shared" si="94"/>
        <v>Valid</v>
      </c>
      <c r="W982" t="str">
        <f t="shared" si="95"/>
        <v>Outlier</v>
      </c>
    </row>
    <row r="983" spans="1:23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  <c r="Q983" t="str">
        <f>IF(COUNTIF($A$2:A983,A983)&gt;1,"Duplicate","Unique")</f>
        <v>Unique</v>
      </c>
      <c r="R983" t="str">
        <f t="shared" si="90"/>
        <v>Valid</v>
      </c>
      <c r="S983" t="str">
        <f t="shared" si="91"/>
        <v>Valid</v>
      </c>
      <c r="T983" t="str">
        <f t="shared" si="92"/>
        <v>Valid</v>
      </c>
      <c r="U983" t="str">
        <f t="shared" si="93"/>
        <v>Valid</v>
      </c>
      <c r="V983" t="str">
        <f t="shared" si="94"/>
        <v>Valid</v>
      </c>
      <c r="W983" t="str">
        <f t="shared" si="95"/>
        <v>Outlier</v>
      </c>
    </row>
    <row r="984" spans="1:23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  <c r="Q984" t="str">
        <f>IF(COUNTIF($A$2:A984,A984)&gt;1,"Duplicate","Unique")</f>
        <v>Unique</v>
      </c>
      <c r="R984" t="str">
        <f t="shared" si="90"/>
        <v>Valid</v>
      </c>
      <c r="S984" t="str">
        <f t="shared" si="91"/>
        <v>Valid</v>
      </c>
      <c r="T984" t="str">
        <f t="shared" si="92"/>
        <v>Valid</v>
      </c>
      <c r="U984" t="str">
        <f t="shared" si="93"/>
        <v>Valid</v>
      </c>
      <c r="V984" t="str">
        <f t="shared" si="94"/>
        <v>Valid</v>
      </c>
      <c r="W984" t="str">
        <f t="shared" si="95"/>
        <v>Outlier</v>
      </c>
    </row>
    <row r="985" spans="1:23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  <c r="Q985" t="str">
        <f>IF(COUNTIF($A$2:A985,A985)&gt;1,"Duplicate","Unique")</f>
        <v>Unique</v>
      </c>
      <c r="R985" t="str">
        <f t="shared" si="90"/>
        <v>Valid</v>
      </c>
      <c r="S985" t="str">
        <f t="shared" si="91"/>
        <v>Valid</v>
      </c>
      <c r="T985" t="str">
        <f t="shared" si="92"/>
        <v>Valid</v>
      </c>
      <c r="U985" t="str">
        <f t="shared" si="93"/>
        <v>Valid</v>
      </c>
      <c r="V985" t="str">
        <f t="shared" si="94"/>
        <v>Valid</v>
      </c>
      <c r="W985" t="str">
        <f t="shared" si="95"/>
        <v>Outlier</v>
      </c>
    </row>
    <row r="986" spans="1:23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  <c r="Q986" t="str">
        <f>IF(COUNTIF($A$2:A986,A986)&gt;1,"Duplicate","Unique")</f>
        <v>Unique</v>
      </c>
      <c r="R986" t="str">
        <f t="shared" si="90"/>
        <v>Valid</v>
      </c>
      <c r="S986" t="str">
        <f t="shared" si="91"/>
        <v>Valid</v>
      </c>
      <c r="T986" t="str">
        <f t="shared" si="92"/>
        <v>Valid</v>
      </c>
      <c r="U986" t="str">
        <f t="shared" si="93"/>
        <v>Valid</v>
      </c>
      <c r="V986" t="str">
        <f t="shared" si="94"/>
        <v>Valid</v>
      </c>
      <c r="W986" t="str">
        <f t="shared" si="95"/>
        <v>Outlier</v>
      </c>
    </row>
    <row r="987" spans="1:23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  <c r="Q987" t="str">
        <f>IF(COUNTIF($A$2:A987,A987)&gt;1,"Duplicate","Unique")</f>
        <v>Unique</v>
      </c>
      <c r="R987" t="str">
        <f t="shared" si="90"/>
        <v>Valid</v>
      </c>
      <c r="S987" t="str">
        <f t="shared" si="91"/>
        <v>Valid</v>
      </c>
      <c r="T987" t="str">
        <f t="shared" si="92"/>
        <v>Valid</v>
      </c>
      <c r="U987" t="str">
        <f t="shared" si="93"/>
        <v>Valid</v>
      </c>
      <c r="V987" t="str">
        <f t="shared" si="94"/>
        <v>Valid</v>
      </c>
      <c r="W987" t="str">
        <f t="shared" si="95"/>
        <v>Outlier</v>
      </c>
    </row>
    <row r="988" spans="1:23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  <c r="Q988" t="str">
        <f>IF(COUNTIF($A$2:A988,A988)&gt;1,"Duplicate","Unique")</f>
        <v>Unique</v>
      </c>
      <c r="R988" t="str">
        <f t="shared" si="90"/>
        <v>Valid</v>
      </c>
      <c r="S988" t="str">
        <f t="shared" si="91"/>
        <v>Valid</v>
      </c>
      <c r="T988" t="str">
        <f t="shared" si="92"/>
        <v>Valid</v>
      </c>
      <c r="U988" t="str">
        <f t="shared" si="93"/>
        <v>Valid</v>
      </c>
      <c r="V988" t="str">
        <f t="shared" si="94"/>
        <v>Valid</v>
      </c>
      <c r="W988" t="str">
        <f t="shared" si="95"/>
        <v>Outlier</v>
      </c>
    </row>
    <row r="989" spans="1:23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  <c r="Q989" t="str">
        <f>IF(COUNTIF($A$2:A989,A989)&gt;1,"Duplicate","Unique")</f>
        <v>Unique</v>
      </c>
      <c r="R989" t="str">
        <f t="shared" si="90"/>
        <v>Valid</v>
      </c>
      <c r="S989" t="str">
        <f t="shared" si="91"/>
        <v>Valid</v>
      </c>
      <c r="T989" t="str">
        <f t="shared" si="92"/>
        <v>Valid</v>
      </c>
      <c r="U989" t="str">
        <f t="shared" si="93"/>
        <v>Valid</v>
      </c>
      <c r="V989" t="str">
        <f t="shared" si="94"/>
        <v>Valid</v>
      </c>
      <c r="W989" t="str">
        <f t="shared" si="95"/>
        <v>Outlier</v>
      </c>
    </row>
    <row r="990" spans="1:23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  <c r="Q990" t="str">
        <f>IF(COUNTIF($A$2:A990,A990)&gt;1,"Duplicate","Unique")</f>
        <v>Unique</v>
      </c>
      <c r="R990" t="str">
        <f t="shared" si="90"/>
        <v>Valid</v>
      </c>
      <c r="S990" t="str">
        <f t="shared" si="91"/>
        <v>Valid</v>
      </c>
      <c r="T990" t="str">
        <f t="shared" si="92"/>
        <v>Valid</v>
      </c>
      <c r="U990" t="str">
        <f t="shared" si="93"/>
        <v>Valid</v>
      </c>
      <c r="V990" t="str">
        <f t="shared" si="94"/>
        <v>Valid</v>
      </c>
      <c r="W990" t="str">
        <f t="shared" si="95"/>
        <v>Outlier</v>
      </c>
    </row>
    <row r="991" spans="1:23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  <c r="Q991" t="str">
        <f>IF(COUNTIF($A$2:A991,A991)&gt;1,"Duplicate","Unique")</f>
        <v>Unique</v>
      </c>
      <c r="R991" t="str">
        <f t="shared" si="90"/>
        <v>Valid</v>
      </c>
      <c r="S991" t="str">
        <f t="shared" si="91"/>
        <v>Valid</v>
      </c>
      <c r="T991" t="str">
        <f t="shared" si="92"/>
        <v>Valid</v>
      </c>
      <c r="U991" t="str">
        <f t="shared" si="93"/>
        <v>Valid</v>
      </c>
      <c r="V991" t="str">
        <f t="shared" si="94"/>
        <v>Valid</v>
      </c>
      <c r="W991" t="str">
        <f t="shared" si="95"/>
        <v>Outlier</v>
      </c>
    </row>
    <row r="992" spans="1:23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  <c r="Q992" t="str">
        <f>IF(COUNTIF($A$2:A992,A992)&gt;1,"Duplicate","Unique")</f>
        <v>Unique</v>
      </c>
      <c r="R992" t="str">
        <f t="shared" si="90"/>
        <v>Valid</v>
      </c>
      <c r="S992" t="str">
        <f t="shared" si="91"/>
        <v>Valid</v>
      </c>
      <c r="T992" t="str">
        <f t="shared" si="92"/>
        <v>Valid</v>
      </c>
      <c r="U992" t="str">
        <f t="shared" si="93"/>
        <v>Valid</v>
      </c>
      <c r="V992" t="str">
        <f t="shared" si="94"/>
        <v>Valid</v>
      </c>
      <c r="W992" t="str">
        <f t="shared" si="95"/>
        <v>Outlier</v>
      </c>
    </row>
    <row r="993" spans="1:23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  <c r="Q993" t="str">
        <f>IF(COUNTIF($A$2:A993,A993)&gt;1,"Duplicate","Unique")</f>
        <v>Unique</v>
      </c>
      <c r="R993" t="str">
        <f t="shared" si="90"/>
        <v>Valid</v>
      </c>
      <c r="S993" t="str">
        <f t="shared" si="91"/>
        <v>Valid</v>
      </c>
      <c r="T993" t="str">
        <f t="shared" si="92"/>
        <v>Valid</v>
      </c>
      <c r="U993" t="str">
        <f t="shared" si="93"/>
        <v>Valid</v>
      </c>
      <c r="V993" t="str">
        <f t="shared" si="94"/>
        <v>Valid</v>
      </c>
      <c r="W993" t="str">
        <f t="shared" si="95"/>
        <v>Outlier</v>
      </c>
    </row>
    <row r="994" spans="1:23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  <c r="Q994" t="str">
        <f>IF(COUNTIF($A$2:A994,A994)&gt;1,"Duplicate","Unique")</f>
        <v>Unique</v>
      </c>
      <c r="R994" t="str">
        <f t="shared" si="90"/>
        <v>Valid</v>
      </c>
      <c r="S994" t="str">
        <f t="shared" si="91"/>
        <v>Valid</v>
      </c>
      <c r="T994" t="str">
        <f t="shared" si="92"/>
        <v>Valid</v>
      </c>
      <c r="U994" t="str">
        <f t="shared" si="93"/>
        <v>Valid</v>
      </c>
      <c r="V994" t="str">
        <f t="shared" si="94"/>
        <v>Valid</v>
      </c>
      <c r="W994" t="str">
        <f t="shared" si="95"/>
        <v>Outlier</v>
      </c>
    </row>
    <row r="995" spans="1:23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  <c r="Q995" t="str">
        <f>IF(COUNTIF($A$2:A995,A995)&gt;1,"Duplicate","Unique")</f>
        <v>Unique</v>
      </c>
      <c r="R995" t="str">
        <f t="shared" si="90"/>
        <v>Valid</v>
      </c>
      <c r="S995" t="str">
        <f t="shared" si="91"/>
        <v>Valid</v>
      </c>
      <c r="T995" t="str">
        <f t="shared" si="92"/>
        <v>Valid</v>
      </c>
      <c r="U995" t="str">
        <f t="shared" si="93"/>
        <v>Valid</v>
      </c>
      <c r="V995" t="str">
        <f t="shared" si="94"/>
        <v>Valid</v>
      </c>
      <c r="W995" t="str">
        <f t="shared" si="95"/>
        <v>Outlier</v>
      </c>
    </row>
    <row r="996" spans="1:23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  <c r="Q996" t="str">
        <f>IF(COUNTIF($A$2:A996,A996)&gt;1,"Duplicate","Unique")</f>
        <v>Unique</v>
      </c>
      <c r="R996" t="str">
        <f t="shared" si="90"/>
        <v>Valid</v>
      </c>
      <c r="S996" t="str">
        <f t="shared" si="91"/>
        <v>Valid</v>
      </c>
      <c r="T996" t="str">
        <f t="shared" si="92"/>
        <v>Valid</v>
      </c>
      <c r="U996" t="str">
        <f t="shared" si="93"/>
        <v>Valid</v>
      </c>
      <c r="V996" t="str">
        <f t="shared" si="94"/>
        <v>Valid</v>
      </c>
      <c r="W996" t="str">
        <f t="shared" si="95"/>
        <v>Outlier</v>
      </c>
    </row>
    <row r="997" spans="1:23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  <c r="Q997" t="str">
        <f>IF(COUNTIF($A$2:A997,A997)&gt;1,"Duplicate","Unique")</f>
        <v>Unique</v>
      </c>
      <c r="R997" t="str">
        <f t="shared" si="90"/>
        <v>Valid</v>
      </c>
      <c r="S997" t="str">
        <f t="shared" si="91"/>
        <v>Valid</v>
      </c>
      <c r="T997" t="str">
        <f t="shared" si="92"/>
        <v>Valid</v>
      </c>
      <c r="U997" t="str">
        <f t="shared" si="93"/>
        <v>Valid</v>
      </c>
      <c r="V997" t="str">
        <f t="shared" si="94"/>
        <v>Valid</v>
      </c>
      <c r="W997" t="str">
        <f t="shared" si="95"/>
        <v>Outlier</v>
      </c>
    </row>
    <row r="998" spans="1:23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  <c r="Q998" t="str">
        <f>IF(COUNTIF($A$2:A998,A998)&gt;1,"Duplicate","Unique")</f>
        <v>Unique</v>
      </c>
      <c r="R998" t="str">
        <f t="shared" si="90"/>
        <v>Valid</v>
      </c>
      <c r="S998" t="str">
        <f t="shared" si="91"/>
        <v>Valid</v>
      </c>
      <c r="T998" t="str">
        <f t="shared" si="92"/>
        <v>Valid</v>
      </c>
      <c r="U998" t="str">
        <f t="shared" si="93"/>
        <v>Valid</v>
      </c>
      <c r="V998" t="str">
        <f t="shared" si="94"/>
        <v>Valid</v>
      </c>
      <c r="W998" t="str">
        <f t="shared" si="95"/>
        <v>Outlier</v>
      </c>
    </row>
    <row r="999" spans="1:23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  <c r="Q999" t="str">
        <f>IF(COUNTIF($A$2:A999,A999)&gt;1,"Duplicate","Unique")</f>
        <v>Unique</v>
      </c>
      <c r="R999" t="str">
        <f t="shared" si="90"/>
        <v>Valid</v>
      </c>
      <c r="S999" t="str">
        <f t="shared" si="91"/>
        <v>Valid</v>
      </c>
      <c r="T999" t="str">
        <f t="shared" si="92"/>
        <v>Valid</v>
      </c>
      <c r="U999" t="str">
        <f t="shared" si="93"/>
        <v>Valid</v>
      </c>
      <c r="V999" t="str">
        <f t="shared" si="94"/>
        <v>Valid</v>
      </c>
      <c r="W999" t="str">
        <f t="shared" si="95"/>
        <v>Outlier</v>
      </c>
    </row>
    <row r="1000" spans="1:23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  <c r="Q1000" t="str">
        <f>IF(COUNTIF($A$2:A1000,A1000)&gt;1,"Duplicate","Unique")</f>
        <v>Unique</v>
      </c>
      <c r="R1000" t="str">
        <f t="shared" si="90"/>
        <v>Valid</v>
      </c>
      <c r="S1000" t="str">
        <f t="shared" si="91"/>
        <v>Valid</v>
      </c>
      <c r="T1000" t="str">
        <f t="shared" si="92"/>
        <v>Valid</v>
      </c>
      <c r="U1000" t="str">
        <f t="shared" si="93"/>
        <v>Valid</v>
      </c>
      <c r="V1000" t="str">
        <f t="shared" si="94"/>
        <v>Valid</v>
      </c>
      <c r="W1000" t="str">
        <f t="shared" si="95"/>
        <v>Outlier</v>
      </c>
    </row>
    <row r="1001" spans="1:23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  <c r="Q1001" t="str">
        <f>IF(COUNTIF($A$2:A1001,A1001)&gt;1,"Duplicate","Unique")</f>
        <v>Unique</v>
      </c>
      <c r="R1001" t="str">
        <f t="shared" si="90"/>
        <v>Valid</v>
      </c>
      <c r="S1001" t="str">
        <f t="shared" si="91"/>
        <v>Valid</v>
      </c>
      <c r="T1001" t="str">
        <f t="shared" si="92"/>
        <v>Valid</v>
      </c>
      <c r="U1001" t="str">
        <f t="shared" si="93"/>
        <v>Valid</v>
      </c>
      <c r="V1001" t="str">
        <f t="shared" si="94"/>
        <v>Valid</v>
      </c>
      <c r="W1001" t="str">
        <f t="shared" si="95"/>
        <v>Outlier</v>
      </c>
    </row>
    <row r="1002" spans="1:23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  <c r="Q1002" t="str">
        <f>IF(COUNTIF($A$2:A1002,A1002)&gt;1,"Duplicate","Unique")</f>
        <v>Unique</v>
      </c>
      <c r="R1002" t="str">
        <f t="shared" si="90"/>
        <v>Valid</v>
      </c>
      <c r="S1002" t="str">
        <f t="shared" si="91"/>
        <v>Valid</v>
      </c>
      <c r="T1002" t="str">
        <f t="shared" si="92"/>
        <v>Valid</v>
      </c>
      <c r="U1002" t="str">
        <f t="shared" si="93"/>
        <v>Valid</v>
      </c>
      <c r="V1002" t="str">
        <f t="shared" si="94"/>
        <v>Valid</v>
      </c>
      <c r="W1002" t="str">
        <f t="shared" si="95"/>
        <v>Outlier</v>
      </c>
    </row>
    <row r="1003" spans="1:23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  <c r="Q1003" t="str">
        <f>IF(COUNTIF($A$2:A1003,A1003)&gt;1,"Duplicate","Unique")</f>
        <v>Unique</v>
      </c>
      <c r="R1003" t="str">
        <f t="shared" si="90"/>
        <v>Valid</v>
      </c>
      <c r="S1003" t="str">
        <f t="shared" si="91"/>
        <v>Valid</v>
      </c>
      <c r="T1003" t="str">
        <f t="shared" si="92"/>
        <v>Valid</v>
      </c>
      <c r="U1003" t="str">
        <f t="shared" si="93"/>
        <v>Valid</v>
      </c>
      <c r="V1003" t="str">
        <f t="shared" si="94"/>
        <v>Valid</v>
      </c>
      <c r="W1003" t="str">
        <f t="shared" si="95"/>
        <v>Outlier</v>
      </c>
    </row>
    <row r="1004" spans="1:23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  <c r="Q1004" t="str">
        <f>IF(COUNTIF($A$2:A1004,A1004)&gt;1,"Duplicate","Unique")</f>
        <v>Unique</v>
      </c>
      <c r="R1004" t="str">
        <f t="shared" si="90"/>
        <v>Valid</v>
      </c>
      <c r="S1004" t="str">
        <f t="shared" si="91"/>
        <v>Valid</v>
      </c>
      <c r="T1004" t="str">
        <f t="shared" si="92"/>
        <v>Valid</v>
      </c>
      <c r="U1004" t="str">
        <f t="shared" si="93"/>
        <v>Valid</v>
      </c>
      <c r="V1004" t="str">
        <f t="shared" si="94"/>
        <v>Valid</v>
      </c>
      <c r="W1004" t="str">
        <f t="shared" si="95"/>
        <v>Outlier</v>
      </c>
    </row>
    <row r="1005" spans="1:23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  <c r="Q1005" t="str">
        <f>IF(COUNTIF($A$2:A1005,A1005)&gt;1,"Duplicate","Unique")</f>
        <v>Unique</v>
      </c>
      <c r="R1005" t="str">
        <f t="shared" si="90"/>
        <v>Valid</v>
      </c>
      <c r="S1005" t="str">
        <f t="shared" si="91"/>
        <v>Valid</v>
      </c>
      <c r="T1005" t="str">
        <f t="shared" si="92"/>
        <v>Valid</v>
      </c>
      <c r="U1005" t="str">
        <f t="shared" si="93"/>
        <v>Valid</v>
      </c>
      <c r="V1005" t="str">
        <f t="shared" si="94"/>
        <v>Valid</v>
      </c>
      <c r="W1005" t="str">
        <f t="shared" si="95"/>
        <v>Outlier</v>
      </c>
    </row>
    <row r="1006" spans="1:23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  <c r="Q1006" t="str">
        <f>IF(COUNTIF($A$2:A1006,A1006)&gt;1,"Duplicate","Unique")</f>
        <v>Unique</v>
      </c>
      <c r="R1006" t="str">
        <f t="shared" si="90"/>
        <v>Valid</v>
      </c>
      <c r="S1006" t="str">
        <f t="shared" si="91"/>
        <v>Valid</v>
      </c>
      <c r="T1006" t="str">
        <f t="shared" si="92"/>
        <v>Valid</v>
      </c>
      <c r="U1006" t="str">
        <f t="shared" si="93"/>
        <v>Valid</v>
      </c>
      <c r="V1006" t="str">
        <f t="shared" si="94"/>
        <v>Valid</v>
      </c>
      <c r="W1006" t="str">
        <f t="shared" si="95"/>
        <v>Outlier</v>
      </c>
    </row>
    <row r="1007" spans="1:23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  <c r="Q1007" t="str">
        <f>IF(COUNTIF($A$2:A1007,A1007)&gt;1,"Duplicate","Unique")</f>
        <v>Unique</v>
      </c>
      <c r="R1007" t="str">
        <f t="shared" si="90"/>
        <v>Valid</v>
      </c>
      <c r="S1007" t="str">
        <f t="shared" si="91"/>
        <v>Valid</v>
      </c>
      <c r="T1007" t="str">
        <f t="shared" si="92"/>
        <v>Valid</v>
      </c>
      <c r="U1007" t="str">
        <f t="shared" si="93"/>
        <v>Valid</v>
      </c>
      <c r="V1007" t="str">
        <f t="shared" si="94"/>
        <v>Valid</v>
      </c>
      <c r="W1007" t="str">
        <f t="shared" si="95"/>
        <v>Outlier</v>
      </c>
    </row>
    <row r="1008" spans="1:23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  <c r="Q1008" t="str">
        <f>IF(COUNTIF($A$2:A1008,A1008)&gt;1,"Duplicate","Unique")</f>
        <v>Unique</v>
      </c>
      <c r="R1008" t="str">
        <f t="shared" si="90"/>
        <v>Valid</v>
      </c>
      <c r="S1008" t="str">
        <f t="shared" si="91"/>
        <v>Valid</v>
      </c>
      <c r="T1008" t="str">
        <f t="shared" si="92"/>
        <v>Valid</v>
      </c>
      <c r="U1008" t="str">
        <f t="shared" si="93"/>
        <v>Valid</v>
      </c>
      <c r="V1008" t="str">
        <f t="shared" si="94"/>
        <v>Valid</v>
      </c>
      <c r="W1008" t="str">
        <f t="shared" si="95"/>
        <v>Outlier</v>
      </c>
    </row>
    <row r="1009" spans="1:23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  <c r="Q1009" t="str">
        <f>IF(COUNTIF($A$2:A1009,A1009)&gt;1,"Duplicate","Unique")</f>
        <v>Unique</v>
      </c>
      <c r="R1009" t="str">
        <f t="shared" si="90"/>
        <v>Valid</v>
      </c>
      <c r="S1009" t="str">
        <f t="shared" si="91"/>
        <v>Valid</v>
      </c>
      <c r="T1009" t="str">
        <f t="shared" si="92"/>
        <v>Valid</v>
      </c>
      <c r="U1009" t="str">
        <f t="shared" si="93"/>
        <v>Valid</v>
      </c>
      <c r="V1009" t="str">
        <f t="shared" si="94"/>
        <v>Valid</v>
      </c>
      <c r="W1009" t="str">
        <f t="shared" si="95"/>
        <v>Outlier</v>
      </c>
    </row>
    <row r="1010" spans="1:23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  <c r="Q1010" t="str">
        <f>IF(COUNTIF($A$2:A1010,A1010)&gt;1,"Duplicate","Unique")</f>
        <v>Unique</v>
      </c>
      <c r="R1010" t="str">
        <f t="shared" si="90"/>
        <v>Valid</v>
      </c>
      <c r="S1010" t="str">
        <f t="shared" si="91"/>
        <v>Valid</v>
      </c>
      <c r="T1010" t="str">
        <f t="shared" si="92"/>
        <v>Valid</v>
      </c>
      <c r="U1010" t="str">
        <f t="shared" si="93"/>
        <v>Valid</v>
      </c>
      <c r="V1010" t="str">
        <f t="shared" si="94"/>
        <v>Valid</v>
      </c>
      <c r="W1010" t="str">
        <f t="shared" si="95"/>
        <v>Outlier</v>
      </c>
    </row>
    <row r="1011" spans="1:23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  <c r="Q1011" t="str">
        <f>IF(COUNTIF($A$2:A1011,A1011)&gt;1,"Duplicate","Unique")</f>
        <v>Unique</v>
      </c>
      <c r="R1011" t="str">
        <f t="shared" si="90"/>
        <v>Valid</v>
      </c>
      <c r="S1011" t="str">
        <f t="shared" si="91"/>
        <v>Valid</v>
      </c>
      <c r="T1011" t="str">
        <f t="shared" si="92"/>
        <v>Valid</v>
      </c>
      <c r="U1011" t="str">
        <f t="shared" si="93"/>
        <v>Valid</v>
      </c>
      <c r="V1011" t="str">
        <f t="shared" si="94"/>
        <v>Valid</v>
      </c>
      <c r="W1011" t="str">
        <f t="shared" si="95"/>
        <v>Outlier</v>
      </c>
    </row>
    <row r="1012" spans="1:23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  <c r="Q1012" t="str">
        <f>IF(COUNTIF($A$2:A1012,A1012)&gt;1,"Duplicate","Unique")</f>
        <v>Unique</v>
      </c>
      <c r="R1012" t="str">
        <f t="shared" si="90"/>
        <v>Valid</v>
      </c>
      <c r="S1012" t="str">
        <f t="shared" si="91"/>
        <v>Valid</v>
      </c>
      <c r="T1012" t="str">
        <f t="shared" si="92"/>
        <v>Valid</v>
      </c>
      <c r="U1012" t="str">
        <f t="shared" si="93"/>
        <v>Valid</v>
      </c>
      <c r="V1012" t="str">
        <f t="shared" si="94"/>
        <v>Valid</v>
      </c>
      <c r="W1012" t="str">
        <f t="shared" si="95"/>
        <v>Outlier</v>
      </c>
    </row>
    <row r="1013" spans="1:23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  <c r="Q1013" t="str">
        <f>IF(COUNTIF($A$2:A1013,A1013)&gt;1,"Duplicate","Unique")</f>
        <v>Unique</v>
      </c>
      <c r="R1013" t="str">
        <f t="shared" si="90"/>
        <v>Valid</v>
      </c>
      <c r="S1013" t="str">
        <f t="shared" si="91"/>
        <v>Valid</v>
      </c>
      <c r="T1013" t="str">
        <f t="shared" si="92"/>
        <v>Valid</v>
      </c>
      <c r="U1013" t="str">
        <f t="shared" si="93"/>
        <v>Valid</v>
      </c>
      <c r="V1013" t="str">
        <f t="shared" si="94"/>
        <v>Valid</v>
      </c>
      <c r="W1013" t="str">
        <f t="shared" si="95"/>
        <v>Outlier</v>
      </c>
    </row>
    <row r="1014" spans="1:23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  <c r="Q1014" t="str">
        <f>IF(COUNTIF($A$2:A1014,A1014)&gt;1,"Duplicate","Unique")</f>
        <v>Unique</v>
      </c>
      <c r="R1014" t="str">
        <f t="shared" si="90"/>
        <v>Valid</v>
      </c>
      <c r="S1014" t="str">
        <f t="shared" si="91"/>
        <v>Valid</v>
      </c>
      <c r="T1014" t="str">
        <f t="shared" si="92"/>
        <v>Valid</v>
      </c>
      <c r="U1014" t="str">
        <f t="shared" si="93"/>
        <v>Valid</v>
      </c>
      <c r="V1014" t="str">
        <f t="shared" si="94"/>
        <v>Valid</v>
      </c>
      <c r="W1014" t="str">
        <f t="shared" si="95"/>
        <v>Outlier</v>
      </c>
    </row>
    <row r="1015" spans="1:23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  <c r="Q1015" t="str">
        <f>IF(COUNTIF($A$2:A1015,A1015)&gt;1,"Duplicate","Unique")</f>
        <v>Unique</v>
      </c>
      <c r="R1015" t="str">
        <f t="shared" si="90"/>
        <v>Valid</v>
      </c>
      <c r="S1015" t="str">
        <f t="shared" si="91"/>
        <v>Valid</v>
      </c>
      <c r="T1015" t="str">
        <f t="shared" si="92"/>
        <v>Valid</v>
      </c>
      <c r="U1015" t="str">
        <f t="shared" si="93"/>
        <v>Valid</v>
      </c>
      <c r="V1015" t="str">
        <f t="shared" si="94"/>
        <v>Valid</v>
      </c>
      <c r="W1015" t="str">
        <f t="shared" si="95"/>
        <v>Outlier</v>
      </c>
    </row>
    <row r="1016" spans="1:23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  <c r="Q1016" t="str">
        <f>IF(COUNTIF($A$2:A1016,A1016)&gt;1,"Duplicate","Unique")</f>
        <v>Unique</v>
      </c>
      <c r="R1016" t="str">
        <f t="shared" si="90"/>
        <v>Valid</v>
      </c>
      <c r="S1016" t="str">
        <f t="shared" si="91"/>
        <v>Valid</v>
      </c>
      <c r="T1016" t="str">
        <f t="shared" si="92"/>
        <v>Valid</v>
      </c>
      <c r="U1016" t="str">
        <f t="shared" si="93"/>
        <v>Valid</v>
      </c>
      <c r="V1016" t="str">
        <f t="shared" si="94"/>
        <v>Valid</v>
      </c>
      <c r="W1016" t="str">
        <f t="shared" si="95"/>
        <v>Outlier</v>
      </c>
    </row>
    <row r="1017" spans="1:23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  <c r="Q1017" t="str">
        <f>IF(COUNTIF($A$2:A1017,A1017)&gt;1,"Duplicate","Unique")</f>
        <v>Unique</v>
      </c>
      <c r="R1017" t="str">
        <f t="shared" si="90"/>
        <v>Valid</v>
      </c>
      <c r="S1017" t="str">
        <f t="shared" si="91"/>
        <v>Valid</v>
      </c>
      <c r="T1017" t="str">
        <f t="shared" si="92"/>
        <v>Valid</v>
      </c>
      <c r="U1017" t="str">
        <f t="shared" si="93"/>
        <v>Valid</v>
      </c>
      <c r="V1017" t="str">
        <f t="shared" si="94"/>
        <v>Valid</v>
      </c>
      <c r="W1017" t="str">
        <f t="shared" si="95"/>
        <v>Outlier</v>
      </c>
    </row>
    <row r="1018" spans="1:23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  <c r="Q1018" t="str">
        <f>IF(COUNTIF($A$2:A1018,A1018)&gt;1,"Duplicate","Unique")</f>
        <v>Unique</v>
      </c>
      <c r="R1018" t="str">
        <f t="shared" si="90"/>
        <v>Valid</v>
      </c>
      <c r="S1018" t="str">
        <f t="shared" si="91"/>
        <v>Valid</v>
      </c>
      <c r="T1018" t="str">
        <f t="shared" si="92"/>
        <v>Valid</v>
      </c>
      <c r="U1018" t="str">
        <f t="shared" si="93"/>
        <v>Valid</v>
      </c>
      <c r="V1018" t="str">
        <f t="shared" si="94"/>
        <v>Valid</v>
      </c>
      <c r="W1018" t="str">
        <f t="shared" si="95"/>
        <v>Outlier</v>
      </c>
    </row>
    <row r="1019" spans="1:23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  <c r="Q1019" t="str">
        <f>IF(COUNTIF($A$2:A1019,A1019)&gt;1,"Duplicate","Unique")</f>
        <v>Unique</v>
      </c>
      <c r="R1019" t="str">
        <f t="shared" si="90"/>
        <v>Valid</v>
      </c>
      <c r="S1019" t="str">
        <f t="shared" si="91"/>
        <v>Valid</v>
      </c>
      <c r="T1019" t="str">
        <f t="shared" si="92"/>
        <v>Valid</v>
      </c>
      <c r="U1019" t="str">
        <f t="shared" si="93"/>
        <v>Valid</v>
      </c>
      <c r="V1019" t="str">
        <f t="shared" si="94"/>
        <v>Valid</v>
      </c>
      <c r="W1019" t="str">
        <f t="shared" si="95"/>
        <v>Outlier</v>
      </c>
    </row>
    <row r="1020" spans="1:23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  <c r="Q1020" t="str">
        <f>IF(COUNTIF($A$2:A1020,A1020)&gt;1,"Duplicate","Unique")</f>
        <v>Unique</v>
      </c>
      <c r="R1020" t="str">
        <f t="shared" si="90"/>
        <v>Valid</v>
      </c>
      <c r="S1020" t="str">
        <f t="shared" si="91"/>
        <v>Valid</v>
      </c>
      <c r="T1020" t="str">
        <f t="shared" si="92"/>
        <v>Valid</v>
      </c>
      <c r="U1020" t="str">
        <f t="shared" si="93"/>
        <v>Valid</v>
      </c>
      <c r="V1020" t="str">
        <f t="shared" si="94"/>
        <v>Valid</v>
      </c>
      <c r="W1020" t="str">
        <f t="shared" si="95"/>
        <v>Outlier</v>
      </c>
    </row>
    <row r="1021" spans="1:23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  <c r="Q1021" t="str">
        <f>IF(COUNTIF($A$2:A1021,A1021)&gt;1,"Duplicate","Unique")</f>
        <v>Unique</v>
      </c>
      <c r="R1021" t="str">
        <f t="shared" si="90"/>
        <v>Valid</v>
      </c>
      <c r="S1021" t="str">
        <f t="shared" si="91"/>
        <v>Valid</v>
      </c>
      <c r="T1021" t="str">
        <f t="shared" si="92"/>
        <v>Valid</v>
      </c>
      <c r="U1021" t="str">
        <f t="shared" si="93"/>
        <v>Valid</v>
      </c>
      <c r="V1021" t="str">
        <f t="shared" si="94"/>
        <v>Valid</v>
      </c>
      <c r="W1021" t="str">
        <f t="shared" si="95"/>
        <v>Outlier</v>
      </c>
    </row>
    <row r="1022" spans="1:23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  <c r="Q1022" t="str">
        <f>IF(COUNTIF($A$2:A1022,A1022)&gt;1,"Duplicate","Unique")</f>
        <v>Unique</v>
      </c>
      <c r="R1022" t="str">
        <f t="shared" si="90"/>
        <v>Valid</v>
      </c>
      <c r="S1022" t="str">
        <f t="shared" si="91"/>
        <v>Valid</v>
      </c>
      <c r="T1022" t="str">
        <f t="shared" si="92"/>
        <v>Valid</v>
      </c>
      <c r="U1022" t="str">
        <f t="shared" si="93"/>
        <v>Valid</v>
      </c>
      <c r="V1022" t="str">
        <f t="shared" si="94"/>
        <v>Valid</v>
      </c>
      <c r="W1022" t="str">
        <f t="shared" si="95"/>
        <v>Outlier</v>
      </c>
    </row>
    <row r="1023" spans="1:23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  <c r="Q1023" t="str">
        <f>IF(COUNTIF($A$2:A1023,A1023)&gt;1,"Duplicate","Unique")</f>
        <v>Unique</v>
      </c>
      <c r="R1023" t="str">
        <f t="shared" si="90"/>
        <v>Valid</v>
      </c>
      <c r="S1023" t="str">
        <f t="shared" si="91"/>
        <v>Valid</v>
      </c>
      <c r="T1023" t="str">
        <f t="shared" si="92"/>
        <v>Valid</v>
      </c>
      <c r="U1023" t="str">
        <f t="shared" si="93"/>
        <v>Valid</v>
      </c>
      <c r="V1023" t="str">
        <f t="shared" si="94"/>
        <v>Valid</v>
      </c>
      <c r="W1023" t="str">
        <f t="shared" si="95"/>
        <v>Outlier</v>
      </c>
    </row>
    <row r="1024" spans="1:23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  <c r="Q1024" t="str">
        <f>IF(COUNTIF($A$2:A1024,A1024)&gt;1,"Duplicate","Unique")</f>
        <v>Unique</v>
      </c>
      <c r="R1024" t="str">
        <f t="shared" si="90"/>
        <v>Valid</v>
      </c>
      <c r="S1024" t="str">
        <f t="shared" si="91"/>
        <v>Valid</v>
      </c>
      <c r="T1024" t="str">
        <f t="shared" si="92"/>
        <v>Valid</v>
      </c>
      <c r="U1024" t="str">
        <f t="shared" si="93"/>
        <v>Valid</v>
      </c>
      <c r="V1024" t="str">
        <f t="shared" si="94"/>
        <v>Valid</v>
      </c>
      <c r="W1024" t="str">
        <f t="shared" si="95"/>
        <v>Outlier</v>
      </c>
    </row>
    <row r="1025" spans="1:23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  <c r="Q1025" t="str">
        <f>IF(COUNTIF($A$2:A1025,A1025)&gt;1,"Duplicate","Unique")</f>
        <v>Unique</v>
      </c>
      <c r="R1025" t="str">
        <f t="shared" si="90"/>
        <v>Valid</v>
      </c>
      <c r="S1025" t="str">
        <f t="shared" si="91"/>
        <v>Valid</v>
      </c>
      <c r="T1025" t="str">
        <f t="shared" si="92"/>
        <v>Valid</v>
      </c>
      <c r="U1025" t="str">
        <f t="shared" si="93"/>
        <v>Valid</v>
      </c>
      <c r="V1025" t="str">
        <f t="shared" si="94"/>
        <v>Valid</v>
      </c>
      <c r="W1025" t="str">
        <f t="shared" si="95"/>
        <v>Outlier</v>
      </c>
    </row>
    <row r="1026" spans="1:23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  <c r="Q1026" t="str">
        <f>IF(COUNTIF($A$2:A1026,A1026)&gt;1,"Duplicate","Unique")</f>
        <v>Unique</v>
      </c>
      <c r="R1026" t="str">
        <f t="shared" si="90"/>
        <v>Valid</v>
      </c>
      <c r="S1026" t="str">
        <f t="shared" si="91"/>
        <v>Valid</v>
      </c>
      <c r="T1026" t="str">
        <f t="shared" si="92"/>
        <v>Valid</v>
      </c>
      <c r="U1026" t="str">
        <f t="shared" si="93"/>
        <v>Valid</v>
      </c>
      <c r="V1026" t="str">
        <f t="shared" si="94"/>
        <v>Valid</v>
      </c>
      <c r="W1026" t="str">
        <f t="shared" si="95"/>
        <v>Outlier</v>
      </c>
    </row>
    <row r="1027" spans="1:23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  <c r="Q1027" t="str">
        <f>IF(COUNTIF($A$2:A1027,A1027)&gt;1,"Duplicate","Unique")</f>
        <v>Unique</v>
      </c>
      <c r="R1027" t="str">
        <f t="shared" ref="R1027:R1090" si="96">IF(OR(H1027=0,H1027=1),"Valid","Invalid")</f>
        <v>Valid</v>
      </c>
      <c r="S1027" t="str">
        <f t="shared" ref="S1027:S1090" si="97">IF(OR(I1027=0,I1027=1),"Valid","Invalid")</f>
        <v>Valid</v>
      </c>
      <c r="T1027" t="str">
        <f t="shared" ref="T1027:T1090" si="98">IF(OR(J1027=0,J1027=1),"Valid","Invalid")</f>
        <v>Valid</v>
      </c>
      <c r="U1027" t="str">
        <f t="shared" ref="U1027:U1090" si="99">IF(OR(K1027=0,K1027=1),"Valid","Invalid")</f>
        <v>Valid</v>
      </c>
      <c r="V1027" t="str">
        <f t="shared" ref="V1027:V1090" si="100">IF(OR(N1027=0,N1027=1),"Valid","Invalid")</f>
        <v>Valid</v>
      </c>
      <c r="W1027" t="str">
        <f t="shared" ref="W1027:W1090" si="101">IF(OR(L1027&lt;$B$23,L1027&gt;$B$24),"Outlier","Normal")</f>
        <v>Outlier</v>
      </c>
    </row>
    <row r="1028" spans="1:23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  <c r="Q1028" t="str">
        <f>IF(COUNTIF($A$2:A1028,A1028)&gt;1,"Duplicate","Unique")</f>
        <v>Unique</v>
      </c>
      <c r="R1028" t="str">
        <f t="shared" si="96"/>
        <v>Valid</v>
      </c>
      <c r="S1028" t="str">
        <f t="shared" si="97"/>
        <v>Valid</v>
      </c>
      <c r="T1028" t="str">
        <f t="shared" si="98"/>
        <v>Valid</v>
      </c>
      <c r="U1028" t="str">
        <f t="shared" si="99"/>
        <v>Valid</v>
      </c>
      <c r="V1028" t="str">
        <f t="shared" si="100"/>
        <v>Valid</v>
      </c>
      <c r="W1028" t="str">
        <f t="shared" si="101"/>
        <v>Outlier</v>
      </c>
    </row>
    <row r="1029" spans="1:23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  <c r="Q1029" t="str">
        <f>IF(COUNTIF($A$2:A1029,A1029)&gt;1,"Duplicate","Unique")</f>
        <v>Unique</v>
      </c>
      <c r="R1029" t="str">
        <f t="shared" si="96"/>
        <v>Valid</v>
      </c>
      <c r="S1029" t="str">
        <f t="shared" si="97"/>
        <v>Valid</v>
      </c>
      <c r="T1029" t="str">
        <f t="shared" si="98"/>
        <v>Valid</v>
      </c>
      <c r="U1029" t="str">
        <f t="shared" si="99"/>
        <v>Valid</v>
      </c>
      <c r="V1029" t="str">
        <f t="shared" si="100"/>
        <v>Valid</v>
      </c>
      <c r="W1029" t="str">
        <f t="shared" si="101"/>
        <v>Outlier</v>
      </c>
    </row>
    <row r="1030" spans="1:23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  <c r="Q1030" t="str">
        <f>IF(COUNTIF($A$2:A1030,A1030)&gt;1,"Duplicate","Unique")</f>
        <v>Unique</v>
      </c>
      <c r="R1030" t="str">
        <f t="shared" si="96"/>
        <v>Valid</v>
      </c>
      <c r="S1030" t="str">
        <f t="shared" si="97"/>
        <v>Valid</v>
      </c>
      <c r="T1030" t="str">
        <f t="shared" si="98"/>
        <v>Valid</v>
      </c>
      <c r="U1030" t="str">
        <f t="shared" si="99"/>
        <v>Valid</v>
      </c>
      <c r="V1030" t="str">
        <f t="shared" si="100"/>
        <v>Valid</v>
      </c>
      <c r="W1030" t="str">
        <f t="shared" si="101"/>
        <v>Outlier</v>
      </c>
    </row>
    <row r="1031" spans="1:23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  <c r="Q1031" t="str">
        <f>IF(COUNTIF($A$2:A1031,A1031)&gt;1,"Duplicate","Unique")</f>
        <v>Unique</v>
      </c>
      <c r="R1031" t="str">
        <f t="shared" si="96"/>
        <v>Valid</v>
      </c>
      <c r="S1031" t="str">
        <f t="shared" si="97"/>
        <v>Valid</v>
      </c>
      <c r="T1031" t="str">
        <f t="shared" si="98"/>
        <v>Valid</v>
      </c>
      <c r="U1031" t="str">
        <f t="shared" si="99"/>
        <v>Valid</v>
      </c>
      <c r="V1031" t="str">
        <f t="shared" si="100"/>
        <v>Valid</v>
      </c>
      <c r="W1031" t="str">
        <f t="shared" si="101"/>
        <v>Outlier</v>
      </c>
    </row>
    <row r="1032" spans="1:23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  <c r="Q1032" t="str">
        <f>IF(COUNTIF($A$2:A1032,A1032)&gt;1,"Duplicate","Unique")</f>
        <v>Unique</v>
      </c>
      <c r="R1032" t="str">
        <f t="shared" si="96"/>
        <v>Valid</v>
      </c>
      <c r="S1032" t="str">
        <f t="shared" si="97"/>
        <v>Valid</v>
      </c>
      <c r="T1032" t="str">
        <f t="shared" si="98"/>
        <v>Valid</v>
      </c>
      <c r="U1032" t="str">
        <f t="shared" si="99"/>
        <v>Valid</v>
      </c>
      <c r="V1032" t="str">
        <f t="shared" si="100"/>
        <v>Valid</v>
      </c>
      <c r="W1032" t="str">
        <f t="shared" si="101"/>
        <v>Outlier</v>
      </c>
    </row>
    <row r="1033" spans="1:23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  <c r="Q1033" t="str">
        <f>IF(COUNTIF($A$2:A1033,A1033)&gt;1,"Duplicate","Unique")</f>
        <v>Unique</v>
      </c>
      <c r="R1033" t="str">
        <f t="shared" si="96"/>
        <v>Valid</v>
      </c>
      <c r="S1033" t="str">
        <f t="shared" si="97"/>
        <v>Valid</v>
      </c>
      <c r="T1033" t="str">
        <f t="shared" si="98"/>
        <v>Valid</v>
      </c>
      <c r="U1033" t="str">
        <f t="shared" si="99"/>
        <v>Valid</v>
      </c>
      <c r="V1033" t="str">
        <f t="shared" si="100"/>
        <v>Valid</v>
      </c>
      <c r="W1033" t="str">
        <f t="shared" si="101"/>
        <v>Outlier</v>
      </c>
    </row>
    <row r="1034" spans="1:23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  <c r="Q1034" t="str">
        <f>IF(COUNTIF($A$2:A1034,A1034)&gt;1,"Duplicate","Unique")</f>
        <v>Unique</v>
      </c>
      <c r="R1034" t="str">
        <f t="shared" si="96"/>
        <v>Valid</v>
      </c>
      <c r="S1034" t="str">
        <f t="shared" si="97"/>
        <v>Valid</v>
      </c>
      <c r="T1034" t="str">
        <f t="shared" si="98"/>
        <v>Valid</v>
      </c>
      <c r="U1034" t="str">
        <f t="shared" si="99"/>
        <v>Valid</v>
      </c>
      <c r="V1034" t="str">
        <f t="shared" si="100"/>
        <v>Valid</v>
      </c>
      <c r="W1034" t="str">
        <f t="shared" si="101"/>
        <v>Outlier</v>
      </c>
    </row>
    <row r="1035" spans="1:23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  <c r="Q1035" t="str">
        <f>IF(COUNTIF($A$2:A1035,A1035)&gt;1,"Duplicate","Unique")</f>
        <v>Unique</v>
      </c>
      <c r="R1035" t="str">
        <f t="shared" si="96"/>
        <v>Valid</v>
      </c>
      <c r="S1035" t="str">
        <f t="shared" si="97"/>
        <v>Valid</v>
      </c>
      <c r="T1035" t="str">
        <f t="shared" si="98"/>
        <v>Valid</v>
      </c>
      <c r="U1035" t="str">
        <f t="shared" si="99"/>
        <v>Valid</v>
      </c>
      <c r="V1035" t="str">
        <f t="shared" si="100"/>
        <v>Valid</v>
      </c>
      <c r="W1035" t="str">
        <f t="shared" si="101"/>
        <v>Outlier</v>
      </c>
    </row>
    <row r="1036" spans="1:23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  <c r="Q1036" t="str">
        <f>IF(COUNTIF($A$2:A1036,A1036)&gt;1,"Duplicate","Unique")</f>
        <v>Unique</v>
      </c>
      <c r="R1036" t="str">
        <f t="shared" si="96"/>
        <v>Valid</v>
      </c>
      <c r="S1036" t="str">
        <f t="shared" si="97"/>
        <v>Valid</v>
      </c>
      <c r="T1036" t="str">
        <f t="shared" si="98"/>
        <v>Valid</v>
      </c>
      <c r="U1036" t="str">
        <f t="shared" si="99"/>
        <v>Valid</v>
      </c>
      <c r="V1036" t="str">
        <f t="shared" si="100"/>
        <v>Valid</v>
      </c>
      <c r="W1036" t="str">
        <f t="shared" si="101"/>
        <v>Outlier</v>
      </c>
    </row>
    <row r="1037" spans="1:23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  <c r="Q1037" t="str">
        <f>IF(COUNTIF($A$2:A1037,A1037)&gt;1,"Duplicate","Unique")</f>
        <v>Unique</v>
      </c>
      <c r="R1037" t="str">
        <f t="shared" si="96"/>
        <v>Valid</v>
      </c>
      <c r="S1037" t="str">
        <f t="shared" si="97"/>
        <v>Valid</v>
      </c>
      <c r="T1037" t="str">
        <f t="shared" si="98"/>
        <v>Valid</v>
      </c>
      <c r="U1037" t="str">
        <f t="shared" si="99"/>
        <v>Valid</v>
      </c>
      <c r="V1037" t="str">
        <f t="shared" si="100"/>
        <v>Valid</v>
      </c>
      <c r="W1037" t="str">
        <f t="shared" si="101"/>
        <v>Outlier</v>
      </c>
    </row>
    <row r="1038" spans="1:23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  <c r="Q1038" t="str">
        <f>IF(COUNTIF($A$2:A1038,A1038)&gt;1,"Duplicate","Unique")</f>
        <v>Unique</v>
      </c>
      <c r="R1038" t="str">
        <f t="shared" si="96"/>
        <v>Valid</v>
      </c>
      <c r="S1038" t="str">
        <f t="shared" si="97"/>
        <v>Valid</v>
      </c>
      <c r="T1038" t="str">
        <f t="shared" si="98"/>
        <v>Valid</v>
      </c>
      <c r="U1038" t="str">
        <f t="shared" si="99"/>
        <v>Valid</v>
      </c>
      <c r="V1038" t="str">
        <f t="shared" si="100"/>
        <v>Valid</v>
      </c>
      <c r="W1038" t="str">
        <f t="shared" si="101"/>
        <v>Outlier</v>
      </c>
    </row>
    <row r="1039" spans="1:23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  <c r="Q1039" t="str">
        <f>IF(COUNTIF($A$2:A1039,A1039)&gt;1,"Duplicate","Unique")</f>
        <v>Unique</v>
      </c>
      <c r="R1039" t="str">
        <f t="shared" si="96"/>
        <v>Valid</v>
      </c>
      <c r="S1039" t="str">
        <f t="shared" si="97"/>
        <v>Valid</v>
      </c>
      <c r="T1039" t="str">
        <f t="shared" si="98"/>
        <v>Valid</v>
      </c>
      <c r="U1039" t="str">
        <f t="shared" si="99"/>
        <v>Valid</v>
      </c>
      <c r="V1039" t="str">
        <f t="shared" si="100"/>
        <v>Valid</v>
      </c>
      <c r="W1039" t="str">
        <f t="shared" si="101"/>
        <v>Outlier</v>
      </c>
    </row>
    <row r="1040" spans="1:23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  <c r="Q1040" t="str">
        <f>IF(COUNTIF($A$2:A1040,A1040)&gt;1,"Duplicate","Unique")</f>
        <v>Unique</v>
      </c>
      <c r="R1040" t="str">
        <f t="shared" si="96"/>
        <v>Valid</v>
      </c>
      <c r="S1040" t="str">
        <f t="shared" si="97"/>
        <v>Valid</v>
      </c>
      <c r="T1040" t="str">
        <f t="shared" si="98"/>
        <v>Valid</v>
      </c>
      <c r="U1040" t="str">
        <f t="shared" si="99"/>
        <v>Valid</v>
      </c>
      <c r="V1040" t="str">
        <f t="shared" si="100"/>
        <v>Valid</v>
      </c>
      <c r="W1040" t="str">
        <f t="shared" si="101"/>
        <v>Outlier</v>
      </c>
    </row>
    <row r="1041" spans="1:23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  <c r="Q1041" t="str">
        <f>IF(COUNTIF($A$2:A1041,A1041)&gt;1,"Duplicate","Unique")</f>
        <v>Unique</v>
      </c>
      <c r="R1041" t="str">
        <f t="shared" si="96"/>
        <v>Valid</v>
      </c>
      <c r="S1041" t="str">
        <f t="shared" si="97"/>
        <v>Valid</v>
      </c>
      <c r="T1041" t="str">
        <f t="shared" si="98"/>
        <v>Valid</v>
      </c>
      <c r="U1041" t="str">
        <f t="shared" si="99"/>
        <v>Valid</v>
      </c>
      <c r="V1041" t="str">
        <f t="shared" si="100"/>
        <v>Valid</v>
      </c>
      <c r="W1041" t="str">
        <f t="shared" si="101"/>
        <v>Outlier</v>
      </c>
    </row>
    <row r="1042" spans="1:23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  <c r="Q1042" t="str">
        <f>IF(COUNTIF($A$2:A1042,A1042)&gt;1,"Duplicate","Unique")</f>
        <v>Unique</v>
      </c>
      <c r="R1042" t="str">
        <f t="shared" si="96"/>
        <v>Valid</v>
      </c>
      <c r="S1042" t="str">
        <f t="shared" si="97"/>
        <v>Valid</v>
      </c>
      <c r="T1042" t="str">
        <f t="shared" si="98"/>
        <v>Valid</v>
      </c>
      <c r="U1042" t="str">
        <f t="shared" si="99"/>
        <v>Valid</v>
      </c>
      <c r="V1042" t="str">
        <f t="shared" si="100"/>
        <v>Valid</v>
      </c>
      <c r="W1042" t="str">
        <f t="shared" si="101"/>
        <v>Outlier</v>
      </c>
    </row>
    <row r="1043" spans="1:23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  <c r="Q1043" t="str">
        <f>IF(COUNTIF($A$2:A1043,A1043)&gt;1,"Duplicate","Unique")</f>
        <v>Unique</v>
      </c>
      <c r="R1043" t="str">
        <f t="shared" si="96"/>
        <v>Valid</v>
      </c>
      <c r="S1043" t="str">
        <f t="shared" si="97"/>
        <v>Valid</v>
      </c>
      <c r="T1043" t="str">
        <f t="shared" si="98"/>
        <v>Valid</v>
      </c>
      <c r="U1043" t="str">
        <f t="shared" si="99"/>
        <v>Valid</v>
      </c>
      <c r="V1043" t="str">
        <f t="shared" si="100"/>
        <v>Valid</v>
      </c>
      <c r="W1043" t="str">
        <f t="shared" si="101"/>
        <v>Outlier</v>
      </c>
    </row>
    <row r="1044" spans="1:23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  <c r="Q1044" t="str">
        <f>IF(COUNTIF($A$2:A1044,A1044)&gt;1,"Duplicate","Unique")</f>
        <v>Unique</v>
      </c>
      <c r="R1044" t="str">
        <f t="shared" si="96"/>
        <v>Valid</v>
      </c>
      <c r="S1044" t="str">
        <f t="shared" si="97"/>
        <v>Valid</v>
      </c>
      <c r="T1044" t="str">
        <f t="shared" si="98"/>
        <v>Valid</v>
      </c>
      <c r="U1044" t="str">
        <f t="shared" si="99"/>
        <v>Valid</v>
      </c>
      <c r="V1044" t="str">
        <f t="shared" si="100"/>
        <v>Valid</v>
      </c>
      <c r="W1044" t="str">
        <f t="shared" si="101"/>
        <v>Outlier</v>
      </c>
    </row>
    <row r="1045" spans="1:23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  <c r="Q1045" t="str">
        <f>IF(COUNTIF($A$2:A1045,A1045)&gt;1,"Duplicate","Unique")</f>
        <v>Unique</v>
      </c>
      <c r="R1045" t="str">
        <f t="shared" si="96"/>
        <v>Valid</v>
      </c>
      <c r="S1045" t="str">
        <f t="shared" si="97"/>
        <v>Valid</v>
      </c>
      <c r="T1045" t="str">
        <f t="shared" si="98"/>
        <v>Valid</v>
      </c>
      <c r="U1045" t="str">
        <f t="shared" si="99"/>
        <v>Valid</v>
      </c>
      <c r="V1045" t="str">
        <f t="shared" si="100"/>
        <v>Valid</v>
      </c>
      <c r="W1045" t="str">
        <f t="shared" si="101"/>
        <v>Outlier</v>
      </c>
    </row>
    <row r="1046" spans="1:23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  <c r="Q1046" t="str">
        <f>IF(COUNTIF($A$2:A1046,A1046)&gt;1,"Duplicate","Unique")</f>
        <v>Unique</v>
      </c>
      <c r="R1046" t="str">
        <f t="shared" si="96"/>
        <v>Valid</v>
      </c>
      <c r="S1046" t="str">
        <f t="shared" si="97"/>
        <v>Valid</v>
      </c>
      <c r="T1046" t="str">
        <f t="shared" si="98"/>
        <v>Valid</v>
      </c>
      <c r="U1046" t="str">
        <f t="shared" si="99"/>
        <v>Valid</v>
      </c>
      <c r="V1046" t="str">
        <f t="shared" si="100"/>
        <v>Valid</v>
      </c>
      <c r="W1046" t="str">
        <f t="shared" si="101"/>
        <v>Outlier</v>
      </c>
    </row>
    <row r="1047" spans="1:23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  <c r="Q1047" t="str">
        <f>IF(COUNTIF($A$2:A1047,A1047)&gt;1,"Duplicate","Unique")</f>
        <v>Unique</v>
      </c>
      <c r="R1047" t="str">
        <f t="shared" si="96"/>
        <v>Valid</v>
      </c>
      <c r="S1047" t="str">
        <f t="shared" si="97"/>
        <v>Valid</v>
      </c>
      <c r="T1047" t="str">
        <f t="shared" si="98"/>
        <v>Valid</v>
      </c>
      <c r="U1047" t="str">
        <f t="shared" si="99"/>
        <v>Valid</v>
      </c>
      <c r="V1047" t="str">
        <f t="shared" si="100"/>
        <v>Valid</v>
      </c>
      <c r="W1047" t="str">
        <f t="shared" si="101"/>
        <v>Outlier</v>
      </c>
    </row>
    <row r="1048" spans="1:23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  <c r="Q1048" t="str">
        <f>IF(COUNTIF($A$2:A1048,A1048)&gt;1,"Duplicate","Unique")</f>
        <v>Unique</v>
      </c>
      <c r="R1048" t="str">
        <f t="shared" si="96"/>
        <v>Valid</v>
      </c>
      <c r="S1048" t="str">
        <f t="shared" si="97"/>
        <v>Valid</v>
      </c>
      <c r="T1048" t="str">
        <f t="shared" si="98"/>
        <v>Valid</v>
      </c>
      <c r="U1048" t="str">
        <f t="shared" si="99"/>
        <v>Valid</v>
      </c>
      <c r="V1048" t="str">
        <f t="shared" si="100"/>
        <v>Valid</v>
      </c>
      <c r="W1048" t="str">
        <f t="shared" si="101"/>
        <v>Outlier</v>
      </c>
    </row>
    <row r="1049" spans="1:23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  <c r="Q1049" t="str">
        <f>IF(COUNTIF($A$2:A1049,A1049)&gt;1,"Duplicate","Unique")</f>
        <v>Unique</v>
      </c>
      <c r="R1049" t="str">
        <f t="shared" si="96"/>
        <v>Valid</v>
      </c>
      <c r="S1049" t="str">
        <f t="shared" si="97"/>
        <v>Valid</v>
      </c>
      <c r="T1049" t="str">
        <f t="shared" si="98"/>
        <v>Valid</v>
      </c>
      <c r="U1049" t="str">
        <f t="shared" si="99"/>
        <v>Valid</v>
      </c>
      <c r="V1049" t="str">
        <f t="shared" si="100"/>
        <v>Valid</v>
      </c>
      <c r="W1049" t="str">
        <f t="shared" si="101"/>
        <v>Outlier</v>
      </c>
    </row>
    <row r="1050" spans="1:23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  <c r="Q1050" t="str">
        <f>IF(COUNTIF($A$2:A1050,A1050)&gt;1,"Duplicate","Unique")</f>
        <v>Unique</v>
      </c>
      <c r="R1050" t="str">
        <f t="shared" si="96"/>
        <v>Valid</v>
      </c>
      <c r="S1050" t="str">
        <f t="shared" si="97"/>
        <v>Valid</v>
      </c>
      <c r="T1050" t="str">
        <f t="shared" si="98"/>
        <v>Valid</v>
      </c>
      <c r="U1050" t="str">
        <f t="shared" si="99"/>
        <v>Valid</v>
      </c>
      <c r="V1050" t="str">
        <f t="shared" si="100"/>
        <v>Valid</v>
      </c>
      <c r="W1050" t="str">
        <f t="shared" si="101"/>
        <v>Outlier</v>
      </c>
    </row>
    <row r="1051" spans="1:23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  <c r="Q1051" t="str">
        <f>IF(COUNTIF($A$2:A1051,A1051)&gt;1,"Duplicate","Unique")</f>
        <v>Unique</v>
      </c>
      <c r="R1051" t="str">
        <f t="shared" si="96"/>
        <v>Valid</v>
      </c>
      <c r="S1051" t="str">
        <f t="shared" si="97"/>
        <v>Valid</v>
      </c>
      <c r="T1051" t="str">
        <f t="shared" si="98"/>
        <v>Valid</v>
      </c>
      <c r="U1051" t="str">
        <f t="shared" si="99"/>
        <v>Valid</v>
      </c>
      <c r="V1051" t="str">
        <f t="shared" si="100"/>
        <v>Valid</v>
      </c>
      <c r="W1051" t="str">
        <f t="shared" si="101"/>
        <v>Outlier</v>
      </c>
    </row>
    <row r="1052" spans="1:23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  <c r="Q1052" t="str">
        <f>IF(COUNTIF($A$2:A1052,A1052)&gt;1,"Duplicate","Unique")</f>
        <v>Unique</v>
      </c>
      <c r="R1052" t="str">
        <f t="shared" si="96"/>
        <v>Valid</v>
      </c>
      <c r="S1052" t="str">
        <f t="shared" si="97"/>
        <v>Valid</v>
      </c>
      <c r="T1052" t="str">
        <f t="shared" si="98"/>
        <v>Valid</v>
      </c>
      <c r="U1052" t="str">
        <f t="shared" si="99"/>
        <v>Valid</v>
      </c>
      <c r="V1052" t="str">
        <f t="shared" si="100"/>
        <v>Valid</v>
      </c>
      <c r="W1052" t="str">
        <f t="shared" si="101"/>
        <v>Outlier</v>
      </c>
    </row>
    <row r="1053" spans="1:23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  <c r="Q1053" t="str">
        <f>IF(COUNTIF($A$2:A1053,A1053)&gt;1,"Duplicate","Unique")</f>
        <v>Unique</v>
      </c>
      <c r="R1053" t="str">
        <f t="shared" si="96"/>
        <v>Valid</v>
      </c>
      <c r="S1053" t="str">
        <f t="shared" si="97"/>
        <v>Valid</v>
      </c>
      <c r="T1053" t="str">
        <f t="shared" si="98"/>
        <v>Valid</v>
      </c>
      <c r="U1053" t="str">
        <f t="shared" si="99"/>
        <v>Valid</v>
      </c>
      <c r="V1053" t="str">
        <f t="shared" si="100"/>
        <v>Valid</v>
      </c>
      <c r="W1053" t="str">
        <f t="shared" si="101"/>
        <v>Outlier</v>
      </c>
    </row>
    <row r="1054" spans="1:23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  <c r="Q1054" t="str">
        <f>IF(COUNTIF($A$2:A1054,A1054)&gt;1,"Duplicate","Unique")</f>
        <v>Unique</v>
      </c>
      <c r="R1054" t="str">
        <f t="shared" si="96"/>
        <v>Valid</v>
      </c>
      <c r="S1054" t="str">
        <f t="shared" si="97"/>
        <v>Valid</v>
      </c>
      <c r="T1054" t="str">
        <f t="shared" si="98"/>
        <v>Valid</v>
      </c>
      <c r="U1054" t="str">
        <f t="shared" si="99"/>
        <v>Valid</v>
      </c>
      <c r="V1054" t="str">
        <f t="shared" si="100"/>
        <v>Valid</v>
      </c>
      <c r="W1054" t="str">
        <f t="shared" si="101"/>
        <v>Outlier</v>
      </c>
    </row>
    <row r="1055" spans="1:23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  <c r="Q1055" t="str">
        <f>IF(COUNTIF($A$2:A1055,A1055)&gt;1,"Duplicate","Unique")</f>
        <v>Unique</v>
      </c>
      <c r="R1055" t="str">
        <f t="shared" si="96"/>
        <v>Valid</v>
      </c>
      <c r="S1055" t="str">
        <f t="shared" si="97"/>
        <v>Valid</v>
      </c>
      <c r="T1055" t="str">
        <f t="shared" si="98"/>
        <v>Valid</v>
      </c>
      <c r="U1055" t="str">
        <f t="shared" si="99"/>
        <v>Valid</v>
      </c>
      <c r="V1055" t="str">
        <f t="shared" si="100"/>
        <v>Valid</v>
      </c>
      <c r="W1055" t="str">
        <f t="shared" si="101"/>
        <v>Outlier</v>
      </c>
    </row>
    <row r="1056" spans="1:23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  <c r="Q1056" t="str">
        <f>IF(COUNTIF($A$2:A1056,A1056)&gt;1,"Duplicate","Unique")</f>
        <v>Unique</v>
      </c>
      <c r="R1056" t="str">
        <f t="shared" si="96"/>
        <v>Valid</v>
      </c>
      <c r="S1056" t="str">
        <f t="shared" si="97"/>
        <v>Valid</v>
      </c>
      <c r="T1056" t="str">
        <f t="shared" si="98"/>
        <v>Valid</v>
      </c>
      <c r="U1056" t="str">
        <f t="shared" si="99"/>
        <v>Valid</v>
      </c>
      <c r="V1056" t="str">
        <f t="shared" si="100"/>
        <v>Valid</v>
      </c>
      <c r="W1056" t="str">
        <f t="shared" si="101"/>
        <v>Outlier</v>
      </c>
    </row>
    <row r="1057" spans="1:23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  <c r="Q1057" t="str">
        <f>IF(COUNTIF($A$2:A1057,A1057)&gt;1,"Duplicate","Unique")</f>
        <v>Unique</v>
      </c>
      <c r="R1057" t="str">
        <f t="shared" si="96"/>
        <v>Valid</v>
      </c>
      <c r="S1057" t="str">
        <f t="shared" si="97"/>
        <v>Valid</v>
      </c>
      <c r="T1057" t="str">
        <f t="shared" si="98"/>
        <v>Valid</v>
      </c>
      <c r="U1057" t="str">
        <f t="shared" si="99"/>
        <v>Valid</v>
      </c>
      <c r="V1057" t="str">
        <f t="shared" si="100"/>
        <v>Valid</v>
      </c>
      <c r="W1057" t="str">
        <f t="shared" si="101"/>
        <v>Outlier</v>
      </c>
    </row>
    <row r="1058" spans="1:23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  <c r="Q1058" t="str">
        <f>IF(COUNTIF($A$2:A1058,A1058)&gt;1,"Duplicate","Unique")</f>
        <v>Unique</v>
      </c>
      <c r="R1058" t="str">
        <f t="shared" si="96"/>
        <v>Valid</v>
      </c>
      <c r="S1058" t="str">
        <f t="shared" si="97"/>
        <v>Valid</v>
      </c>
      <c r="T1058" t="str">
        <f t="shared" si="98"/>
        <v>Valid</v>
      </c>
      <c r="U1058" t="str">
        <f t="shared" si="99"/>
        <v>Valid</v>
      </c>
      <c r="V1058" t="str">
        <f t="shared" si="100"/>
        <v>Valid</v>
      </c>
      <c r="W1058" t="str">
        <f t="shared" si="101"/>
        <v>Outlier</v>
      </c>
    </row>
    <row r="1059" spans="1:23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  <c r="Q1059" t="str">
        <f>IF(COUNTIF($A$2:A1059,A1059)&gt;1,"Duplicate","Unique")</f>
        <v>Unique</v>
      </c>
      <c r="R1059" t="str">
        <f t="shared" si="96"/>
        <v>Valid</v>
      </c>
      <c r="S1059" t="str">
        <f t="shared" si="97"/>
        <v>Valid</v>
      </c>
      <c r="T1059" t="str">
        <f t="shared" si="98"/>
        <v>Valid</v>
      </c>
      <c r="U1059" t="str">
        <f t="shared" si="99"/>
        <v>Valid</v>
      </c>
      <c r="V1059" t="str">
        <f t="shared" si="100"/>
        <v>Valid</v>
      </c>
      <c r="W1059" t="str">
        <f t="shared" si="101"/>
        <v>Outlier</v>
      </c>
    </row>
    <row r="1060" spans="1:23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  <c r="Q1060" t="str">
        <f>IF(COUNTIF($A$2:A1060,A1060)&gt;1,"Duplicate","Unique")</f>
        <v>Unique</v>
      </c>
      <c r="R1060" t="str">
        <f t="shared" si="96"/>
        <v>Valid</v>
      </c>
      <c r="S1060" t="str">
        <f t="shared" si="97"/>
        <v>Valid</v>
      </c>
      <c r="T1060" t="str">
        <f t="shared" si="98"/>
        <v>Valid</v>
      </c>
      <c r="U1060" t="str">
        <f t="shared" si="99"/>
        <v>Valid</v>
      </c>
      <c r="V1060" t="str">
        <f t="shared" si="100"/>
        <v>Valid</v>
      </c>
      <c r="W1060" t="str">
        <f t="shared" si="101"/>
        <v>Outlier</v>
      </c>
    </row>
    <row r="1061" spans="1:23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  <c r="Q1061" t="str">
        <f>IF(COUNTIF($A$2:A1061,A1061)&gt;1,"Duplicate","Unique")</f>
        <v>Unique</v>
      </c>
      <c r="R1061" t="str">
        <f t="shared" si="96"/>
        <v>Valid</v>
      </c>
      <c r="S1061" t="str">
        <f t="shared" si="97"/>
        <v>Valid</v>
      </c>
      <c r="T1061" t="str">
        <f t="shared" si="98"/>
        <v>Valid</v>
      </c>
      <c r="U1061" t="str">
        <f t="shared" si="99"/>
        <v>Valid</v>
      </c>
      <c r="V1061" t="str">
        <f t="shared" si="100"/>
        <v>Valid</v>
      </c>
      <c r="W1061" t="str">
        <f t="shared" si="101"/>
        <v>Outlier</v>
      </c>
    </row>
    <row r="1062" spans="1:23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  <c r="Q1062" t="str">
        <f>IF(COUNTIF($A$2:A1062,A1062)&gt;1,"Duplicate","Unique")</f>
        <v>Unique</v>
      </c>
      <c r="R1062" t="str">
        <f t="shared" si="96"/>
        <v>Valid</v>
      </c>
      <c r="S1062" t="str">
        <f t="shared" si="97"/>
        <v>Valid</v>
      </c>
      <c r="T1062" t="str">
        <f t="shared" si="98"/>
        <v>Valid</v>
      </c>
      <c r="U1062" t="str">
        <f t="shared" si="99"/>
        <v>Valid</v>
      </c>
      <c r="V1062" t="str">
        <f t="shared" si="100"/>
        <v>Valid</v>
      </c>
      <c r="W1062" t="str">
        <f t="shared" si="101"/>
        <v>Outlier</v>
      </c>
    </row>
    <row r="1063" spans="1:23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  <c r="Q1063" t="str">
        <f>IF(COUNTIF($A$2:A1063,A1063)&gt;1,"Duplicate","Unique")</f>
        <v>Unique</v>
      </c>
      <c r="R1063" t="str">
        <f t="shared" si="96"/>
        <v>Valid</v>
      </c>
      <c r="S1063" t="str">
        <f t="shared" si="97"/>
        <v>Valid</v>
      </c>
      <c r="T1063" t="str">
        <f t="shared" si="98"/>
        <v>Valid</v>
      </c>
      <c r="U1063" t="str">
        <f t="shared" si="99"/>
        <v>Valid</v>
      </c>
      <c r="V1063" t="str">
        <f t="shared" si="100"/>
        <v>Valid</v>
      </c>
      <c r="W1063" t="str">
        <f t="shared" si="101"/>
        <v>Outlier</v>
      </c>
    </row>
    <row r="1064" spans="1:23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  <c r="Q1064" t="str">
        <f>IF(COUNTIF($A$2:A1064,A1064)&gt;1,"Duplicate","Unique")</f>
        <v>Unique</v>
      </c>
      <c r="R1064" t="str">
        <f t="shared" si="96"/>
        <v>Valid</v>
      </c>
      <c r="S1064" t="str">
        <f t="shared" si="97"/>
        <v>Valid</v>
      </c>
      <c r="T1064" t="str">
        <f t="shared" si="98"/>
        <v>Valid</v>
      </c>
      <c r="U1064" t="str">
        <f t="shared" si="99"/>
        <v>Valid</v>
      </c>
      <c r="V1064" t="str">
        <f t="shared" si="100"/>
        <v>Valid</v>
      </c>
      <c r="W1064" t="str">
        <f t="shared" si="101"/>
        <v>Outlier</v>
      </c>
    </row>
    <row r="1065" spans="1:23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  <c r="Q1065" t="str">
        <f>IF(COUNTIF($A$2:A1065,A1065)&gt;1,"Duplicate","Unique")</f>
        <v>Unique</v>
      </c>
      <c r="R1065" t="str">
        <f t="shared" si="96"/>
        <v>Valid</v>
      </c>
      <c r="S1065" t="str">
        <f t="shared" si="97"/>
        <v>Valid</v>
      </c>
      <c r="T1065" t="str">
        <f t="shared" si="98"/>
        <v>Valid</v>
      </c>
      <c r="U1065" t="str">
        <f t="shared" si="99"/>
        <v>Valid</v>
      </c>
      <c r="V1065" t="str">
        <f t="shared" si="100"/>
        <v>Valid</v>
      </c>
      <c r="W1065" t="str">
        <f t="shared" si="101"/>
        <v>Outlier</v>
      </c>
    </row>
    <row r="1066" spans="1:23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  <c r="Q1066" t="str">
        <f>IF(COUNTIF($A$2:A1066,A1066)&gt;1,"Duplicate","Unique")</f>
        <v>Unique</v>
      </c>
      <c r="R1066" t="str">
        <f t="shared" si="96"/>
        <v>Valid</v>
      </c>
      <c r="S1066" t="str">
        <f t="shared" si="97"/>
        <v>Valid</v>
      </c>
      <c r="T1066" t="str">
        <f t="shared" si="98"/>
        <v>Valid</v>
      </c>
      <c r="U1066" t="str">
        <f t="shared" si="99"/>
        <v>Valid</v>
      </c>
      <c r="V1066" t="str">
        <f t="shared" si="100"/>
        <v>Valid</v>
      </c>
      <c r="W1066" t="str">
        <f t="shared" si="101"/>
        <v>Outlier</v>
      </c>
    </row>
    <row r="1067" spans="1:23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  <c r="Q1067" t="str">
        <f>IF(COUNTIF($A$2:A1067,A1067)&gt;1,"Duplicate","Unique")</f>
        <v>Unique</v>
      </c>
      <c r="R1067" t="str">
        <f t="shared" si="96"/>
        <v>Valid</v>
      </c>
      <c r="S1067" t="str">
        <f t="shared" si="97"/>
        <v>Valid</v>
      </c>
      <c r="T1067" t="str">
        <f t="shared" si="98"/>
        <v>Valid</v>
      </c>
      <c r="U1067" t="str">
        <f t="shared" si="99"/>
        <v>Valid</v>
      </c>
      <c r="V1067" t="str">
        <f t="shared" si="100"/>
        <v>Valid</v>
      </c>
      <c r="W1067" t="str">
        <f t="shared" si="101"/>
        <v>Outlier</v>
      </c>
    </row>
    <row r="1068" spans="1:23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  <c r="Q1068" t="str">
        <f>IF(COUNTIF($A$2:A1068,A1068)&gt;1,"Duplicate","Unique")</f>
        <v>Unique</v>
      </c>
      <c r="R1068" t="str">
        <f t="shared" si="96"/>
        <v>Valid</v>
      </c>
      <c r="S1068" t="str">
        <f t="shared" si="97"/>
        <v>Valid</v>
      </c>
      <c r="T1068" t="str">
        <f t="shared" si="98"/>
        <v>Valid</v>
      </c>
      <c r="U1068" t="str">
        <f t="shared" si="99"/>
        <v>Valid</v>
      </c>
      <c r="V1068" t="str">
        <f t="shared" si="100"/>
        <v>Valid</v>
      </c>
      <c r="W1068" t="str">
        <f t="shared" si="101"/>
        <v>Outlier</v>
      </c>
    </row>
    <row r="1069" spans="1:23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  <c r="Q1069" t="str">
        <f>IF(COUNTIF($A$2:A1069,A1069)&gt;1,"Duplicate","Unique")</f>
        <v>Unique</v>
      </c>
      <c r="R1069" t="str">
        <f t="shared" si="96"/>
        <v>Valid</v>
      </c>
      <c r="S1069" t="str">
        <f t="shared" si="97"/>
        <v>Valid</v>
      </c>
      <c r="T1069" t="str">
        <f t="shared" si="98"/>
        <v>Valid</v>
      </c>
      <c r="U1069" t="str">
        <f t="shared" si="99"/>
        <v>Valid</v>
      </c>
      <c r="V1069" t="str">
        <f t="shared" si="100"/>
        <v>Valid</v>
      </c>
      <c r="W1069" t="str">
        <f t="shared" si="101"/>
        <v>Outlier</v>
      </c>
    </row>
    <row r="1070" spans="1:23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  <c r="Q1070" t="str">
        <f>IF(COUNTIF($A$2:A1070,A1070)&gt;1,"Duplicate","Unique")</f>
        <v>Unique</v>
      </c>
      <c r="R1070" t="str">
        <f t="shared" si="96"/>
        <v>Valid</v>
      </c>
      <c r="S1070" t="str">
        <f t="shared" si="97"/>
        <v>Valid</v>
      </c>
      <c r="T1070" t="str">
        <f t="shared" si="98"/>
        <v>Valid</v>
      </c>
      <c r="U1070" t="str">
        <f t="shared" si="99"/>
        <v>Valid</v>
      </c>
      <c r="V1070" t="str">
        <f t="shared" si="100"/>
        <v>Valid</v>
      </c>
      <c r="W1070" t="str">
        <f t="shared" si="101"/>
        <v>Outlier</v>
      </c>
    </row>
    <row r="1071" spans="1:23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  <c r="Q1071" t="str">
        <f>IF(COUNTIF($A$2:A1071,A1071)&gt;1,"Duplicate","Unique")</f>
        <v>Unique</v>
      </c>
      <c r="R1071" t="str">
        <f t="shared" si="96"/>
        <v>Valid</v>
      </c>
      <c r="S1071" t="str">
        <f t="shared" si="97"/>
        <v>Valid</v>
      </c>
      <c r="T1071" t="str">
        <f t="shared" si="98"/>
        <v>Valid</v>
      </c>
      <c r="U1071" t="str">
        <f t="shared" si="99"/>
        <v>Valid</v>
      </c>
      <c r="V1071" t="str">
        <f t="shared" si="100"/>
        <v>Valid</v>
      </c>
      <c r="W1071" t="str">
        <f t="shared" si="101"/>
        <v>Outlier</v>
      </c>
    </row>
    <row r="1072" spans="1:23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  <c r="Q1072" t="str">
        <f>IF(COUNTIF($A$2:A1072,A1072)&gt;1,"Duplicate","Unique")</f>
        <v>Unique</v>
      </c>
      <c r="R1072" t="str">
        <f t="shared" si="96"/>
        <v>Valid</v>
      </c>
      <c r="S1072" t="str">
        <f t="shared" si="97"/>
        <v>Valid</v>
      </c>
      <c r="T1072" t="str">
        <f t="shared" si="98"/>
        <v>Valid</v>
      </c>
      <c r="U1072" t="str">
        <f t="shared" si="99"/>
        <v>Valid</v>
      </c>
      <c r="V1072" t="str">
        <f t="shared" si="100"/>
        <v>Valid</v>
      </c>
      <c r="W1072" t="str">
        <f t="shared" si="101"/>
        <v>Outlier</v>
      </c>
    </row>
    <row r="1073" spans="1:23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  <c r="Q1073" t="str">
        <f>IF(COUNTIF($A$2:A1073,A1073)&gt;1,"Duplicate","Unique")</f>
        <v>Unique</v>
      </c>
      <c r="R1073" t="str">
        <f t="shared" si="96"/>
        <v>Valid</v>
      </c>
      <c r="S1073" t="str">
        <f t="shared" si="97"/>
        <v>Valid</v>
      </c>
      <c r="T1073" t="str">
        <f t="shared" si="98"/>
        <v>Valid</v>
      </c>
      <c r="U1073" t="str">
        <f t="shared" si="99"/>
        <v>Valid</v>
      </c>
      <c r="V1073" t="str">
        <f t="shared" si="100"/>
        <v>Valid</v>
      </c>
      <c r="W1073" t="str">
        <f t="shared" si="101"/>
        <v>Outlier</v>
      </c>
    </row>
    <row r="1074" spans="1:23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Q1074" t="str">
        <f>IF(COUNTIF($A$2:A1074,A1074)&gt;1,"Duplicate","Unique")</f>
        <v>Unique</v>
      </c>
      <c r="R1074" t="str">
        <f t="shared" si="96"/>
        <v>Valid</v>
      </c>
      <c r="S1074" t="str">
        <f t="shared" si="97"/>
        <v>Valid</v>
      </c>
      <c r="T1074" t="str">
        <f t="shared" si="98"/>
        <v>Valid</v>
      </c>
      <c r="U1074" t="str">
        <f t="shared" si="99"/>
        <v>Valid</v>
      </c>
      <c r="V1074" t="str">
        <f t="shared" si="100"/>
        <v>Valid</v>
      </c>
      <c r="W1074" t="str">
        <f t="shared" si="101"/>
        <v>Outlier</v>
      </c>
    </row>
    <row r="1075" spans="1:23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  <c r="Q1075" t="str">
        <f>IF(COUNTIF($A$2:A1075,A1075)&gt;1,"Duplicate","Unique")</f>
        <v>Unique</v>
      </c>
      <c r="R1075" t="str">
        <f t="shared" si="96"/>
        <v>Valid</v>
      </c>
      <c r="S1075" t="str">
        <f t="shared" si="97"/>
        <v>Valid</v>
      </c>
      <c r="T1075" t="str">
        <f t="shared" si="98"/>
        <v>Valid</v>
      </c>
      <c r="U1075" t="str">
        <f t="shared" si="99"/>
        <v>Valid</v>
      </c>
      <c r="V1075" t="str">
        <f t="shared" si="100"/>
        <v>Valid</v>
      </c>
      <c r="W1075" t="str">
        <f t="shared" si="101"/>
        <v>Outlier</v>
      </c>
    </row>
    <row r="1076" spans="1:23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  <c r="Q1076" t="str">
        <f>IF(COUNTIF($A$2:A1076,A1076)&gt;1,"Duplicate","Unique")</f>
        <v>Unique</v>
      </c>
      <c r="R1076" t="str">
        <f t="shared" si="96"/>
        <v>Valid</v>
      </c>
      <c r="S1076" t="str">
        <f t="shared" si="97"/>
        <v>Valid</v>
      </c>
      <c r="T1076" t="str">
        <f t="shared" si="98"/>
        <v>Valid</v>
      </c>
      <c r="U1076" t="str">
        <f t="shared" si="99"/>
        <v>Valid</v>
      </c>
      <c r="V1076" t="str">
        <f t="shared" si="100"/>
        <v>Valid</v>
      </c>
      <c r="W1076" t="str">
        <f t="shared" si="101"/>
        <v>Outlier</v>
      </c>
    </row>
    <row r="1077" spans="1:23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  <c r="Q1077" t="str">
        <f>IF(COUNTIF($A$2:A1077,A1077)&gt;1,"Duplicate","Unique")</f>
        <v>Unique</v>
      </c>
      <c r="R1077" t="str">
        <f t="shared" si="96"/>
        <v>Valid</v>
      </c>
      <c r="S1077" t="str">
        <f t="shared" si="97"/>
        <v>Valid</v>
      </c>
      <c r="T1077" t="str">
        <f t="shared" si="98"/>
        <v>Valid</v>
      </c>
      <c r="U1077" t="str">
        <f t="shared" si="99"/>
        <v>Valid</v>
      </c>
      <c r="V1077" t="str">
        <f t="shared" si="100"/>
        <v>Valid</v>
      </c>
      <c r="W1077" t="str">
        <f t="shared" si="101"/>
        <v>Outlier</v>
      </c>
    </row>
    <row r="1078" spans="1:23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  <c r="Q1078" t="str">
        <f>IF(COUNTIF($A$2:A1078,A1078)&gt;1,"Duplicate","Unique")</f>
        <v>Unique</v>
      </c>
      <c r="R1078" t="str">
        <f t="shared" si="96"/>
        <v>Valid</v>
      </c>
      <c r="S1078" t="str">
        <f t="shared" si="97"/>
        <v>Valid</v>
      </c>
      <c r="T1078" t="str">
        <f t="shared" si="98"/>
        <v>Valid</v>
      </c>
      <c r="U1078" t="str">
        <f t="shared" si="99"/>
        <v>Valid</v>
      </c>
      <c r="V1078" t="str">
        <f t="shared" si="100"/>
        <v>Valid</v>
      </c>
      <c r="W1078" t="str">
        <f t="shared" si="101"/>
        <v>Outlier</v>
      </c>
    </row>
    <row r="1079" spans="1:23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  <c r="Q1079" t="str">
        <f>IF(COUNTIF($A$2:A1079,A1079)&gt;1,"Duplicate","Unique")</f>
        <v>Unique</v>
      </c>
      <c r="R1079" t="str">
        <f t="shared" si="96"/>
        <v>Valid</v>
      </c>
      <c r="S1079" t="str">
        <f t="shared" si="97"/>
        <v>Valid</v>
      </c>
      <c r="T1079" t="str">
        <f t="shared" si="98"/>
        <v>Valid</v>
      </c>
      <c r="U1079" t="str">
        <f t="shared" si="99"/>
        <v>Valid</v>
      </c>
      <c r="V1079" t="str">
        <f t="shared" si="100"/>
        <v>Valid</v>
      </c>
      <c r="W1079" t="str">
        <f t="shared" si="101"/>
        <v>Outlier</v>
      </c>
    </row>
    <row r="1080" spans="1:23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  <c r="Q1080" t="str">
        <f>IF(COUNTIF($A$2:A1080,A1080)&gt;1,"Duplicate","Unique")</f>
        <v>Unique</v>
      </c>
      <c r="R1080" t="str">
        <f t="shared" si="96"/>
        <v>Valid</v>
      </c>
      <c r="S1080" t="str">
        <f t="shared" si="97"/>
        <v>Valid</v>
      </c>
      <c r="T1080" t="str">
        <f t="shared" si="98"/>
        <v>Valid</v>
      </c>
      <c r="U1080" t="str">
        <f t="shared" si="99"/>
        <v>Valid</v>
      </c>
      <c r="V1080" t="str">
        <f t="shared" si="100"/>
        <v>Valid</v>
      </c>
      <c r="W1080" t="str">
        <f t="shared" si="101"/>
        <v>Outlier</v>
      </c>
    </row>
    <row r="1081" spans="1:23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  <c r="Q1081" t="str">
        <f>IF(COUNTIF($A$2:A1081,A1081)&gt;1,"Duplicate","Unique")</f>
        <v>Unique</v>
      </c>
      <c r="R1081" t="str">
        <f t="shared" si="96"/>
        <v>Valid</v>
      </c>
      <c r="S1081" t="str">
        <f t="shared" si="97"/>
        <v>Valid</v>
      </c>
      <c r="T1081" t="str">
        <f t="shared" si="98"/>
        <v>Valid</v>
      </c>
      <c r="U1081" t="str">
        <f t="shared" si="99"/>
        <v>Valid</v>
      </c>
      <c r="V1081" t="str">
        <f t="shared" si="100"/>
        <v>Valid</v>
      </c>
      <c r="W1081" t="str">
        <f t="shared" si="101"/>
        <v>Outlier</v>
      </c>
    </row>
    <row r="1082" spans="1:23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  <c r="Q1082" t="str">
        <f>IF(COUNTIF($A$2:A1082,A1082)&gt;1,"Duplicate","Unique")</f>
        <v>Unique</v>
      </c>
      <c r="R1082" t="str">
        <f t="shared" si="96"/>
        <v>Valid</v>
      </c>
      <c r="S1082" t="str">
        <f t="shared" si="97"/>
        <v>Valid</v>
      </c>
      <c r="T1082" t="str">
        <f t="shared" si="98"/>
        <v>Valid</v>
      </c>
      <c r="U1082" t="str">
        <f t="shared" si="99"/>
        <v>Valid</v>
      </c>
      <c r="V1082" t="str">
        <f t="shared" si="100"/>
        <v>Valid</v>
      </c>
      <c r="W1082" t="str">
        <f t="shared" si="101"/>
        <v>Outlier</v>
      </c>
    </row>
    <row r="1083" spans="1:23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  <c r="Q1083" t="str">
        <f>IF(COUNTIF($A$2:A1083,A1083)&gt;1,"Duplicate","Unique")</f>
        <v>Unique</v>
      </c>
      <c r="R1083" t="str">
        <f t="shared" si="96"/>
        <v>Valid</v>
      </c>
      <c r="S1083" t="str">
        <f t="shared" si="97"/>
        <v>Valid</v>
      </c>
      <c r="T1083" t="str">
        <f t="shared" si="98"/>
        <v>Valid</v>
      </c>
      <c r="U1083" t="str">
        <f t="shared" si="99"/>
        <v>Valid</v>
      </c>
      <c r="V1083" t="str">
        <f t="shared" si="100"/>
        <v>Valid</v>
      </c>
      <c r="W1083" t="str">
        <f t="shared" si="101"/>
        <v>Outlier</v>
      </c>
    </row>
    <row r="1084" spans="1:23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  <c r="Q1084" t="str">
        <f>IF(COUNTIF($A$2:A1084,A1084)&gt;1,"Duplicate","Unique")</f>
        <v>Unique</v>
      </c>
      <c r="R1084" t="str">
        <f t="shared" si="96"/>
        <v>Valid</v>
      </c>
      <c r="S1084" t="str">
        <f t="shared" si="97"/>
        <v>Valid</v>
      </c>
      <c r="T1084" t="str">
        <f t="shared" si="98"/>
        <v>Valid</v>
      </c>
      <c r="U1084" t="str">
        <f t="shared" si="99"/>
        <v>Valid</v>
      </c>
      <c r="V1084" t="str">
        <f t="shared" si="100"/>
        <v>Valid</v>
      </c>
      <c r="W1084" t="str">
        <f t="shared" si="101"/>
        <v>Outlier</v>
      </c>
    </row>
    <row r="1085" spans="1:23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  <c r="Q1085" t="str">
        <f>IF(COUNTIF($A$2:A1085,A1085)&gt;1,"Duplicate","Unique")</f>
        <v>Unique</v>
      </c>
      <c r="R1085" t="str">
        <f t="shared" si="96"/>
        <v>Valid</v>
      </c>
      <c r="S1085" t="str">
        <f t="shared" si="97"/>
        <v>Valid</v>
      </c>
      <c r="T1085" t="str">
        <f t="shared" si="98"/>
        <v>Valid</v>
      </c>
      <c r="U1085" t="str">
        <f t="shared" si="99"/>
        <v>Valid</v>
      </c>
      <c r="V1085" t="str">
        <f t="shared" si="100"/>
        <v>Valid</v>
      </c>
      <c r="W1085" t="str">
        <f t="shared" si="101"/>
        <v>Outlier</v>
      </c>
    </row>
    <row r="1086" spans="1:23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  <c r="Q1086" t="str">
        <f>IF(COUNTIF($A$2:A1086,A1086)&gt;1,"Duplicate","Unique")</f>
        <v>Unique</v>
      </c>
      <c r="R1086" t="str">
        <f t="shared" si="96"/>
        <v>Valid</v>
      </c>
      <c r="S1086" t="str">
        <f t="shared" si="97"/>
        <v>Valid</v>
      </c>
      <c r="T1086" t="str">
        <f t="shared" si="98"/>
        <v>Valid</v>
      </c>
      <c r="U1086" t="str">
        <f t="shared" si="99"/>
        <v>Valid</v>
      </c>
      <c r="V1086" t="str">
        <f t="shared" si="100"/>
        <v>Valid</v>
      </c>
      <c r="W1086" t="str">
        <f t="shared" si="101"/>
        <v>Outlier</v>
      </c>
    </row>
    <row r="1087" spans="1:23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  <c r="Q1087" t="str">
        <f>IF(COUNTIF($A$2:A1087,A1087)&gt;1,"Duplicate","Unique")</f>
        <v>Unique</v>
      </c>
      <c r="R1087" t="str">
        <f t="shared" si="96"/>
        <v>Valid</v>
      </c>
      <c r="S1087" t="str">
        <f t="shared" si="97"/>
        <v>Valid</v>
      </c>
      <c r="T1087" t="str">
        <f t="shared" si="98"/>
        <v>Valid</v>
      </c>
      <c r="U1087" t="str">
        <f t="shared" si="99"/>
        <v>Valid</v>
      </c>
      <c r="V1087" t="str">
        <f t="shared" si="100"/>
        <v>Valid</v>
      </c>
      <c r="W1087" t="str">
        <f t="shared" si="101"/>
        <v>Outlier</v>
      </c>
    </row>
    <row r="1088" spans="1:23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  <c r="Q1088" t="str">
        <f>IF(COUNTIF($A$2:A1088,A1088)&gt;1,"Duplicate","Unique")</f>
        <v>Unique</v>
      </c>
      <c r="R1088" t="str">
        <f t="shared" si="96"/>
        <v>Valid</v>
      </c>
      <c r="S1088" t="str">
        <f t="shared" si="97"/>
        <v>Valid</v>
      </c>
      <c r="T1088" t="str">
        <f t="shared" si="98"/>
        <v>Valid</v>
      </c>
      <c r="U1088" t="str">
        <f t="shared" si="99"/>
        <v>Valid</v>
      </c>
      <c r="V1088" t="str">
        <f t="shared" si="100"/>
        <v>Valid</v>
      </c>
      <c r="W1088" t="str">
        <f t="shared" si="101"/>
        <v>Outlier</v>
      </c>
    </row>
    <row r="1089" spans="1:23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  <c r="Q1089" t="str">
        <f>IF(COUNTIF($A$2:A1089,A1089)&gt;1,"Duplicate","Unique")</f>
        <v>Unique</v>
      </c>
      <c r="R1089" t="str">
        <f t="shared" si="96"/>
        <v>Valid</v>
      </c>
      <c r="S1089" t="str">
        <f t="shared" si="97"/>
        <v>Valid</v>
      </c>
      <c r="T1089" t="str">
        <f t="shared" si="98"/>
        <v>Valid</v>
      </c>
      <c r="U1089" t="str">
        <f t="shared" si="99"/>
        <v>Valid</v>
      </c>
      <c r="V1089" t="str">
        <f t="shared" si="100"/>
        <v>Valid</v>
      </c>
      <c r="W1089" t="str">
        <f t="shared" si="101"/>
        <v>Outlier</v>
      </c>
    </row>
    <row r="1090" spans="1:23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  <c r="Q1090" t="str">
        <f>IF(COUNTIF($A$2:A1090,A1090)&gt;1,"Duplicate","Unique")</f>
        <v>Unique</v>
      </c>
      <c r="R1090" t="str">
        <f t="shared" si="96"/>
        <v>Valid</v>
      </c>
      <c r="S1090" t="str">
        <f t="shared" si="97"/>
        <v>Valid</v>
      </c>
      <c r="T1090" t="str">
        <f t="shared" si="98"/>
        <v>Valid</v>
      </c>
      <c r="U1090" t="str">
        <f t="shared" si="99"/>
        <v>Valid</v>
      </c>
      <c r="V1090" t="str">
        <f t="shared" si="100"/>
        <v>Valid</v>
      </c>
      <c r="W1090" t="str">
        <f t="shared" si="101"/>
        <v>Outlier</v>
      </c>
    </row>
    <row r="1091" spans="1:23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  <c r="Q1091" t="str">
        <f>IF(COUNTIF($A$2:A1091,A1091)&gt;1,"Duplicate","Unique")</f>
        <v>Unique</v>
      </c>
      <c r="R1091" t="str">
        <f t="shared" ref="R1091:R1154" si="102">IF(OR(H1091=0,H1091=1),"Valid","Invalid")</f>
        <v>Valid</v>
      </c>
      <c r="S1091" t="str">
        <f t="shared" ref="S1091:S1154" si="103">IF(OR(I1091=0,I1091=1),"Valid","Invalid")</f>
        <v>Valid</v>
      </c>
      <c r="T1091" t="str">
        <f t="shared" ref="T1091:T1154" si="104">IF(OR(J1091=0,J1091=1),"Valid","Invalid")</f>
        <v>Valid</v>
      </c>
      <c r="U1091" t="str">
        <f t="shared" ref="U1091:U1154" si="105">IF(OR(K1091=0,K1091=1),"Valid","Invalid")</f>
        <v>Valid</v>
      </c>
      <c r="V1091" t="str">
        <f t="shared" ref="V1091:V1154" si="106">IF(OR(N1091=0,N1091=1),"Valid","Invalid")</f>
        <v>Valid</v>
      </c>
      <c r="W1091" t="str">
        <f t="shared" ref="W1091:W1154" si="107">IF(OR(L1091&lt;$B$23,L1091&gt;$B$24),"Outlier","Normal")</f>
        <v>Outlier</v>
      </c>
    </row>
    <row r="1092" spans="1:23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  <c r="Q1092" t="str">
        <f>IF(COUNTIF($A$2:A1092,A1092)&gt;1,"Duplicate","Unique")</f>
        <v>Unique</v>
      </c>
      <c r="R1092" t="str">
        <f t="shared" si="102"/>
        <v>Valid</v>
      </c>
      <c r="S1092" t="str">
        <f t="shared" si="103"/>
        <v>Valid</v>
      </c>
      <c r="T1092" t="str">
        <f t="shared" si="104"/>
        <v>Valid</v>
      </c>
      <c r="U1092" t="str">
        <f t="shared" si="105"/>
        <v>Valid</v>
      </c>
      <c r="V1092" t="str">
        <f t="shared" si="106"/>
        <v>Valid</v>
      </c>
      <c r="W1092" t="str">
        <f t="shared" si="107"/>
        <v>Outlier</v>
      </c>
    </row>
    <row r="1093" spans="1:23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  <c r="Q1093" t="str">
        <f>IF(COUNTIF($A$2:A1093,A1093)&gt;1,"Duplicate","Unique")</f>
        <v>Unique</v>
      </c>
      <c r="R1093" t="str">
        <f t="shared" si="102"/>
        <v>Valid</v>
      </c>
      <c r="S1093" t="str">
        <f t="shared" si="103"/>
        <v>Valid</v>
      </c>
      <c r="T1093" t="str">
        <f t="shared" si="104"/>
        <v>Valid</v>
      </c>
      <c r="U1093" t="str">
        <f t="shared" si="105"/>
        <v>Valid</v>
      </c>
      <c r="V1093" t="str">
        <f t="shared" si="106"/>
        <v>Valid</v>
      </c>
      <c r="W1093" t="str">
        <f t="shared" si="107"/>
        <v>Outlier</v>
      </c>
    </row>
    <row r="1094" spans="1:23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  <c r="Q1094" t="str">
        <f>IF(COUNTIF($A$2:A1094,A1094)&gt;1,"Duplicate","Unique")</f>
        <v>Unique</v>
      </c>
      <c r="R1094" t="str">
        <f t="shared" si="102"/>
        <v>Valid</v>
      </c>
      <c r="S1094" t="str">
        <f t="shared" si="103"/>
        <v>Valid</v>
      </c>
      <c r="T1094" t="str">
        <f t="shared" si="104"/>
        <v>Valid</v>
      </c>
      <c r="U1094" t="str">
        <f t="shared" si="105"/>
        <v>Valid</v>
      </c>
      <c r="V1094" t="str">
        <f t="shared" si="106"/>
        <v>Valid</v>
      </c>
      <c r="W1094" t="str">
        <f t="shared" si="107"/>
        <v>Outlier</v>
      </c>
    </row>
    <row r="1095" spans="1:23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  <c r="Q1095" t="str">
        <f>IF(COUNTIF($A$2:A1095,A1095)&gt;1,"Duplicate","Unique")</f>
        <v>Unique</v>
      </c>
      <c r="R1095" t="str">
        <f t="shared" si="102"/>
        <v>Valid</v>
      </c>
      <c r="S1095" t="str">
        <f t="shared" si="103"/>
        <v>Valid</v>
      </c>
      <c r="T1095" t="str">
        <f t="shared" si="104"/>
        <v>Valid</v>
      </c>
      <c r="U1095" t="str">
        <f t="shared" si="105"/>
        <v>Valid</v>
      </c>
      <c r="V1095" t="str">
        <f t="shared" si="106"/>
        <v>Valid</v>
      </c>
      <c r="W1095" t="str">
        <f t="shared" si="107"/>
        <v>Outlier</v>
      </c>
    </row>
    <row r="1096" spans="1:23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  <c r="Q1096" t="str">
        <f>IF(COUNTIF($A$2:A1096,A1096)&gt;1,"Duplicate","Unique")</f>
        <v>Unique</v>
      </c>
      <c r="R1096" t="str">
        <f t="shared" si="102"/>
        <v>Valid</v>
      </c>
      <c r="S1096" t="str">
        <f t="shared" si="103"/>
        <v>Valid</v>
      </c>
      <c r="T1096" t="str">
        <f t="shared" si="104"/>
        <v>Valid</v>
      </c>
      <c r="U1096" t="str">
        <f t="shared" si="105"/>
        <v>Valid</v>
      </c>
      <c r="V1096" t="str">
        <f t="shared" si="106"/>
        <v>Valid</v>
      </c>
      <c r="W1096" t="str">
        <f t="shared" si="107"/>
        <v>Outlier</v>
      </c>
    </row>
    <row r="1097" spans="1:23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  <c r="Q1097" t="str">
        <f>IF(COUNTIF($A$2:A1097,A1097)&gt;1,"Duplicate","Unique")</f>
        <v>Unique</v>
      </c>
      <c r="R1097" t="str">
        <f t="shared" si="102"/>
        <v>Valid</v>
      </c>
      <c r="S1097" t="str">
        <f t="shared" si="103"/>
        <v>Valid</v>
      </c>
      <c r="T1097" t="str">
        <f t="shared" si="104"/>
        <v>Valid</v>
      </c>
      <c r="U1097" t="str">
        <f t="shared" si="105"/>
        <v>Valid</v>
      </c>
      <c r="V1097" t="str">
        <f t="shared" si="106"/>
        <v>Valid</v>
      </c>
      <c r="W1097" t="str">
        <f t="shared" si="107"/>
        <v>Outlier</v>
      </c>
    </row>
    <row r="1098" spans="1:23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  <c r="Q1098" t="str">
        <f>IF(COUNTIF($A$2:A1098,A1098)&gt;1,"Duplicate","Unique")</f>
        <v>Unique</v>
      </c>
      <c r="R1098" t="str">
        <f t="shared" si="102"/>
        <v>Valid</v>
      </c>
      <c r="S1098" t="str">
        <f t="shared" si="103"/>
        <v>Valid</v>
      </c>
      <c r="T1098" t="str">
        <f t="shared" si="104"/>
        <v>Valid</v>
      </c>
      <c r="U1098" t="str">
        <f t="shared" si="105"/>
        <v>Valid</v>
      </c>
      <c r="V1098" t="str">
        <f t="shared" si="106"/>
        <v>Valid</v>
      </c>
      <c r="W1098" t="str">
        <f t="shared" si="107"/>
        <v>Outlier</v>
      </c>
    </row>
    <row r="1099" spans="1:23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  <c r="Q1099" t="str">
        <f>IF(COUNTIF($A$2:A1099,A1099)&gt;1,"Duplicate","Unique")</f>
        <v>Unique</v>
      </c>
      <c r="R1099" t="str">
        <f t="shared" si="102"/>
        <v>Valid</v>
      </c>
      <c r="S1099" t="str">
        <f t="shared" si="103"/>
        <v>Valid</v>
      </c>
      <c r="T1099" t="str">
        <f t="shared" si="104"/>
        <v>Valid</v>
      </c>
      <c r="U1099" t="str">
        <f t="shared" si="105"/>
        <v>Valid</v>
      </c>
      <c r="V1099" t="str">
        <f t="shared" si="106"/>
        <v>Valid</v>
      </c>
      <c r="W1099" t="str">
        <f t="shared" si="107"/>
        <v>Outlier</v>
      </c>
    </row>
    <row r="1100" spans="1:23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Q1100" t="str">
        <f>IF(COUNTIF($A$2:A1100,A1100)&gt;1,"Duplicate","Unique")</f>
        <v>Unique</v>
      </c>
      <c r="R1100" t="str">
        <f t="shared" si="102"/>
        <v>Valid</v>
      </c>
      <c r="S1100" t="str">
        <f t="shared" si="103"/>
        <v>Valid</v>
      </c>
      <c r="T1100" t="str">
        <f t="shared" si="104"/>
        <v>Valid</v>
      </c>
      <c r="U1100" t="str">
        <f t="shared" si="105"/>
        <v>Valid</v>
      </c>
      <c r="V1100" t="str">
        <f t="shared" si="106"/>
        <v>Valid</v>
      </c>
      <c r="W1100" t="str">
        <f t="shared" si="107"/>
        <v>Outlier</v>
      </c>
    </row>
    <row r="1101" spans="1:23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  <c r="Q1101" t="str">
        <f>IF(COUNTIF($A$2:A1101,A1101)&gt;1,"Duplicate","Unique")</f>
        <v>Unique</v>
      </c>
      <c r="R1101" t="str">
        <f t="shared" si="102"/>
        <v>Valid</v>
      </c>
      <c r="S1101" t="str">
        <f t="shared" si="103"/>
        <v>Valid</v>
      </c>
      <c r="T1101" t="str">
        <f t="shared" si="104"/>
        <v>Valid</v>
      </c>
      <c r="U1101" t="str">
        <f t="shared" si="105"/>
        <v>Valid</v>
      </c>
      <c r="V1101" t="str">
        <f t="shared" si="106"/>
        <v>Valid</v>
      </c>
      <c r="W1101" t="str">
        <f t="shared" si="107"/>
        <v>Outlier</v>
      </c>
    </row>
    <row r="1102" spans="1:23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  <c r="Q1102" t="str">
        <f>IF(COUNTIF($A$2:A1102,A1102)&gt;1,"Duplicate","Unique")</f>
        <v>Unique</v>
      </c>
      <c r="R1102" t="str">
        <f t="shared" si="102"/>
        <v>Valid</v>
      </c>
      <c r="S1102" t="str">
        <f t="shared" si="103"/>
        <v>Valid</v>
      </c>
      <c r="T1102" t="str">
        <f t="shared" si="104"/>
        <v>Valid</v>
      </c>
      <c r="U1102" t="str">
        <f t="shared" si="105"/>
        <v>Valid</v>
      </c>
      <c r="V1102" t="str">
        <f t="shared" si="106"/>
        <v>Valid</v>
      </c>
      <c r="W1102" t="str">
        <f t="shared" si="107"/>
        <v>Outlier</v>
      </c>
    </row>
    <row r="1103" spans="1:23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  <c r="Q1103" t="str">
        <f>IF(COUNTIF($A$2:A1103,A1103)&gt;1,"Duplicate","Unique")</f>
        <v>Unique</v>
      </c>
      <c r="R1103" t="str">
        <f t="shared" si="102"/>
        <v>Valid</v>
      </c>
      <c r="S1103" t="str">
        <f t="shared" si="103"/>
        <v>Valid</v>
      </c>
      <c r="T1103" t="str">
        <f t="shared" si="104"/>
        <v>Valid</v>
      </c>
      <c r="U1103" t="str">
        <f t="shared" si="105"/>
        <v>Valid</v>
      </c>
      <c r="V1103" t="str">
        <f t="shared" si="106"/>
        <v>Valid</v>
      </c>
      <c r="W1103" t="str">
        <f t="shared" si="107"/>
        <v>Outlier</v>
      </c>
    </row>
    <row r="1104" spans="1:23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  <c r="Q1104" t="str">
        <f>IF(COUNTIF($A$2:A1104,A1104)&gt;1,"Duplicate","Unique")</f>
        <v>Unique</v>
      </c>
      <c r="R1104" t="str">
        <f t="shared" si="102"/>
        <v>Valid</v>
      </c>
      <c r="S1104" t="str">
        <f t="shared" si="103"/>
        <v>Valid</v>
      </c>
      <c r="T1104" t="str">
        <f t="shared" si="104"/>
        <v>Valid</v>
      </c>
      <c r="U1104" t="str">
        <f t="shared" si="105"/>
        <v>Valid</v>
      </c>
      <c r="V1104" t="str">
        <f t="shared" si="106"/>
        <v>Valid</v>
      </c>
      <c r="W1104" t="str">
        <f t="shared" si="107"/>
        <v>Outlier</v>
      </c>
    </row>
    <row r="1105" spans="1:23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  <c r="Q1105" t="str">
        <f>IF(COUNTIF($A$2:A1105,A1105)&gt;1,"Duplicate","Unique")</f>
        <v>Unique</v>
      </c>
      <c r="R1105" t="str">
        <f t="shared" si="102"/>
        <v>Valid</v>
      </c>
      <c r="S1105" t="str">
        <f t="shared" si="103"/>
        <v>Valid</v>
      </c>
      <c r="T1105" t="str">
        <f t="shared" si="104"/>
        <v>Valid</v>
      </c>
      <c r="U1105" t="str">
        <f t="shared" si="105"/>
        <v>Valid</v>
      </c>
      <c r="V1105" t="str">
        <f t="shared" si="106"/>
        <v>Valid</v>
      </c>
      <c r="W1105" t="str">
        <f t="shared" si="107"/>
        <v>Outlier</v>
      </c>
    </row>
    <row r="1106" spans="1:23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  <c r="Q1106" t="str">
        <f>IF(COUNTIF($A$2:A1106,A1106)&gt;1,"Duplicate","Unique")</f>
        <v>Unique</v>
      </c>
      <c r="R1106" t="str">
        <f t="shared" si="102"/>
        <v>Valid</v>
      </c>
      <c r="S1106" t="str">
        <f t="shared" si="103"/>
        <v>Valid</v>
      </c>
      <c r="T1106" t="str">
        <f t="shared" si="104"/>
        <v>Valid</v>
      </c>
      <c r="U1106" t="str">
        <f t="shared" si="105"/>
        <v>Valid</v>
      </c>
      <c r="V1106" t="str">
        <f t="shared" si="106"/>
        <v>Valid</v>
      </c>
      <c r="W1106" t="str">
        <f t="shared" si="107"/>
        <v>Outlier</v>
      </c>
    </row>
    <row r="1107" spans="1:23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  <c r="Q1107" t="str">
        <f>IF(COUNTIF($A$2:A1107,A1107)&gt;1,"Duplicate","Unique")</f>
        <v>Unique</v>
      </c>
      <c r="R1107" t="str">
        <f t="shared" si="102"/>
        <v>Valid</v>
      </c>
      <c r="S1107" t="str">
        <f t="shared" si="103"/>
        <v>Valid</v>
      </c>
      <c r="T1107" t="str">
        <f t="shared" si="104"/>
        <v>Valid</v>
      </c>
      <c r="U1107" t="str">
        <f t="shared" si="105"/>
        <v>Valid</v>
      </c>
      <c r="V1107" t="str">
        <f t="shared" si="106"/>
        <v>Valid</v>
      </c>
      <c r="W1107" t="str">
        <f t="shared" si="107"/>
        <v>Outlier</v>
      </c>
    </row>
    <row r="1108" spans="1:23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  <c r="Q1108" t="str">
        <f>IF(COUNTIF($A$2:A1108,A1108)&gt;1,"Duplicate","Unique")</f>
        <v>Unique</v>
      </c>
      <c r="R1108" t="str">
        <f t="shared" si="102"/>
        <v>Valid</v>
      </c>
      <c r="S1108" t="str">
        <f t="shared" si="103"/>
        <v>Valid</v>
      </c>
      <c r="T1108" t="str">
        <f t="shared" si="104"/>
        <v>Valid</v>
      </c>
      <c r="U1108" t="str">
        <f t="shared" si="105"/>
        <v>Valid</v>
      </c>
      <c r="V1108" t="str">
        <f t="shared" si="106"/>
        <v>Valid</v>
      </c>
      <c r="W1108" t="str">
        <f t="shared" si="107"/>
        <v>Outlier</v>
      </c>
    </row>
    <row r="1109" spans="1:23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  <c r="Q1109" t="str">
        <f>IF(COUNTIF($A$2:A1109,A1109)&gt;1,"Duplicate","Unique")</f>
        <v>Unique</v>
      </c>
      <c r="R1109" t="str">
        <f t="shared" si="102"/>
        <v>Valid</v>
      </c>
      <c r="S1109" t="str">
        <f t="shared" si="103"/>
        <v>Valid</v>
      </c>
      <c r="T1109" t="str">
        <f t="shared" si="104"/>
        <v>Valid</v>
      </c>
      <c r="U1109" t="str">
        <f t="shared" si="105"/>
        <v>Valid</v>
      </c>
      <c r="V1109" t="str">
        <f t="shared" si="106"/>
        <v>Valid</v>
      </c>
      <c r="W1109" t="str">
        <f t="shared" si="107"/>
        <v>Outlier</v>
      </c>
    </row>
    <row r="1110" spans="1:23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  <c r="Q1110" t="str">
        <f>IF(COUNTIF($A$2:A1110,A1110)&gt;1,"Duplicate","Unique")</f>
        <v>Unique</v>
      </c>
      <c r="R1110" t="str">
        <f t="shared" si="102"/>
        <v>Valid</v>
      </c>
      <c r="S1110" t="str">
        <f t="shared" si="103"/>
        <v>Valid</v>
      </c>
      <c r="T1110" t="str">
        <f t="shared" si="104"/>
        <v>Valid</v>
      </c>
      <c r="U1110" t="str">
        <f t="shared" si="105"/>
        <v>Valid</v>
      </c>
      <c r="V1110" t="str">
        <f t="shared" si="106"/>
        <v>Valid</v>
      </c>
      <c r="W1110" t="str">
        <f t="shared" si="107"/>
        <v>Outlier</v>
      </c>
    </row>
    <row r="1111" spans="1:23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  <c r="Q1111" t="str">
        <f>IF(COUNTIF($A$2:A1111,A1111)&gt;1,"Duplicate","Unique")</f>
        <v>Unique</v>
      </c>
      <c r="R1111" t="str">
        <f t="shared" si="102"/>
        <v>Valid</v>
      </c>
      <c r="S1111" t="str">
        <f t="shared" si="103"/>
        <v>Valid</v>
      </c>
      <c r="T1111" t="str">
        <f t="shared" si="104"/>
        <v>Valid</v>
      </c>
      <c r="U1111" t="str">
        <f t="shared" si="105"/>
        <v>Valid</v>
      </c>
      <c r="V1111" t="str">
        <f t="shared" si="106"/>
        <v>Valid</v>
      </c>
      <c r="W1111" t="str">
        <f t="shared" si="107"/>
        <v>Outlier</v>
      </c>
    </row>
    <row r="1112" spans="1:23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  <c r="Q1112" t="str">
        <f>IF(COUNTIF($A$2:A1112,A1112)&gt;1,"Duplicate","Unique")</f>
        <v>Unique</v>
      </c>
      <c r="R1112" t="str">
        <f t="shared" si="102"/>
        <v>Valid</v>
      </c>
      <c r="S1112" t="str">
        <f t="shared" si="103"/>
        <v>Valid</v>
      </c>
      <c r="T1112" t="str">
        <f t="shared" si="104"/>
        <v>Valid</v>
      </c>
      <c r="U1112" t="str">
        <f t="shared" si="105"/>
        <v>Valid</v>
      </c>
      <c r="V1112" t="str">
        <f t="shared" si="106"/>
        <v>Valid</v>
      </c>
      <c r="W1112" t="str">
        <f t="shared" si="107"/>
        <v>Outlier</v>
      </c>
    </row>
    <row r="1113" spans="1:23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  <c r="Q1113" t="str">
        <f>IF(COUNTIF($A$2:A1113,A1113)&gt;1,"Duplicate","Unique")</f>
        <v>Unique</v>
      </c>
      <c r="R1113" t="str">
        <f t="shared" si="102"/>
        <v>Valid</v>
      </c>
      <c r="S1113" t="str">
        <f t="shared" si="103"/>
        <v>Valid</v>
      </c>
      <c r="T1113" t="str">
        <f t="shared" si="104"/>
        <v>Valid</v>
      </c>
      <c r="U1113" t="str">
        <f t="shared" si="105"/>
        <v>Valid</v>
      </c>
      <c r="V1113" t="str">
        <f t="shared" si="106"/>
        <v>Valid</v>
      </c>
      <c r="W1113" t="str">
        <f t="shared" si="107"/>
        <v>Outlier</v>
      </c>
    </row>
    <row r="1114" spans="1:23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  <c r="Q1114" t="str">
        <f>IF(COUNTIF($A$2:A1114,A1114)&gt;1,"Duplicate","Unique")</f>
        <v>Unique</v>
      </c>
      <c r="R1114" t="str">
        <f t="shared" si="102"/>
        <v>Valid</v>
      </c>
      <c r="S1114" t="str">
        <f t="shared" si="103"/>
        <v>Valid</v>
      </c>
      <c r="T1114" t="str">
        <f t="shared" si="104"/>
        <v>Valid</v>
      </c>
      <c r="U1114" t="str">
        <f t="shared" si="105"/>
        <v>Valid</v>
      </c>
      <c r="V1114" t="str">
        <f t="shared" si="106"/>
        <v>Valid</v>
      </c>
      <c r="W1114" t="str">
        <f t="shared" si="107"/>
        <v>Outlier</v>
      </c>
    </row>
    <row r="1115" spans="1:23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  <c r="Q1115" t="str">
        <f>IF(COUNTIF($A$2:A1115,A1115)&gt;1,"Duplicate","Unique")</f>
        <v>Unique</v>
      </c>
      <c r="R1115" t="str">
        <f t="shared" si="102"/>
        <v>Valid</v>
      </c>
      <c r="S1115" t="str">
        <f t="shared" si="103"/>
        <v>Valid</v>
      </c>
      <c r="T1115" t="str">
        <f t="shared" si="104"/>
        <v>Valid</v>
      </c>
      <c r="U1115" t="str">
        <f t="shared" si="105"/>
        <v>Valid</v>
      </c>
      <c r="V1115" t="str">
        <f t="shared" si="106"/>
        <v>Valid</v>
      </c>
      <c r="W1115" t="str">
        <f t="shared" si="107"/>
        <v>Outlier</v>
      </c>
    </row>
    <row r="1116" spans="1:23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  <c r="Q1116" t="str">
        <f>IF(COUNTIF($A$2:A1116,A1116)&gt;1,"Duplicate","Unique")</f>
        <v>Unique</v>
      </c>
      <c r="R1116" t="str">
        <f t="shared" si="102"/>
        <v>Valid</v>
      </c>
      <c r="S1116" t="str">
        <f t="shared" si="103"/>
        <v>Valid</v>
      </c>
      <c r="T1116" t="str">
        <f t="shared" si="104"/>
        <v>Valid</v>
      </c>
      <c r="U1116" t="str">
        <f t="shared" si="105"/>
        <v>Valid</v>
      </c>
      <c r="V1116" t="str">
        <f t="shared" si="106"/>
        <v>Valid</v>
      </c>
      <c r="W1116" t="str">
        <f t="shared" si="107"/>
        <v>Outlier</v>
      </c>
    </row>
    <row r="1117" spans="1:23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  <c r="Q1117" t="str">
        <f>IF(COUNTIF($A$2:A1117,A1117)&gt;1,"Duplicate","Unique")</f>
        <v>Unique</v>
      </c>
      <c r="R1117" t="str">
        <f t="shared" si="102"/>
        <v>Valid</v>
      </c>
      <c r="S1117" t="str">
        <f t="shared" si="103"/>
        <v>Valid</v>
      </c>
      <c r="T1117" t="str">
        <f t="shared" si="104"/>
        <v>Valid</v>
      </c>
      <c r="U1117" t="str">
        <f t="shared" si="105"/>
        <v>Valid</v>
      </c>
      <c r="V1117" t="str">
        <f t="shared" si="106"/>
        <v>Valid</v>
      </c>
      <c r="W1117" t="str">
        <f t="shared" si="107"/>
        <v>Outlier</v>
      </c>
    </row>
    <row r="1118" spans="1:23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  <c r="Q1118" t="str">
        <f>IF(COUNTIF($A$2:A1118,A1118)&gt;1,"Duplicate","Unique")</f>
        <v>Unique</v>
      </c>
      <c r="R1118" t="str">
        <f t="shared" si="102"/>
        <v>Valid</v>
      </c>
      <c r="S1118" t="str">
        <f t="shared" si="103"/>
        <v>Valid</v>
      </c>
      <c r="T1118" t="str">
        <f t="shared" si="104"/>
        <v>Valid</v>
      </c>
      <c r="U1118" t="str">
        <f t="shared" si="105"/>
        <v>Valid</v>
      </c>
      <c r="V1118" t="str">
        <f t="shared" si="106"/>
        <v>Valid</v>
      </c>
      <c r="W1118" t="str">
        <f t="shared" si="107"/>
        <v>Outlier</v>
      </c>
    </row>
    <row r="1119" spans="1:23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  <c r="Q1119" t="str">
        <f>IF(COUNTIF($A$2:A1119,A1119)&gt;1,"Duplicate","Unique")</f>
        <v>Unique</v>
      </c>
      <c r="R1119" t="str">
        <f t="shared" si="102"/>
        <v>Valid</v>
      </c>
      <c r="S1119" t="str">
        <f t="shared" si="103"/>
        <v>Valid</v>
      </c>
      <c r="T1119" t="str">
        <f t="shared" si="104"/>
        <v>Valid</v>
      </c>
      <c r="U1119" t="str">
        <f t="shared" si="105"/>
        <v>Valid</v>
      </c>
      <c r="V1119" t="str">
        <f t="shared" si="106"/>
        <v>Valid</v>
      </c>
      <c r="W1119" t="str">
        <f t="shared" si="107"/>
        <v>Outlier</v>
      </c>
    </row>
    <row r="1120" spans="1:23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  <c r="Q1120" t="str">
        <f>IF(COUNTIF($A$2:A1120,A1120)&gt;1,"Duplicate","Unique")</f>
        <v>Unique</v>
      </c>
      <c r="R1120" t="str">
        <f t="shared" si="102"/>
        <v>Valid</v>
      </c>
      <c r="S1120" t="str">
        <f t="shared" si="103"/>
        <v>Valid</v>
      </c>
      <c r="T1120" t="str">
        <f t="shared" si="104"/>
        <v>Valid</v>
      </c>
      <c r="U1120" t="str">
        <f t="shared" si="105"/>
        <v>Valid</v>
      </c>
      <c r="V1120" t="str">
        <f t="shared" si="106"/>
        <v>Valid</v>
      </c>
      <c r="W1120" t="str">
        <f t="shared" si="107"/>
        <v>Outlier</v>
      </c>
    </row>
    <row r="1121" spans="1:23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  <c r="Q1121" t="str">
        <f>IF(COUNTIF($A$2:A1121,A1121)&gt;1,"Duplicate","Unique")</f>
        <v>Unique</v>
      </c>
      <c r="R1121" t="str">
        <f t="shared" si="102"/>
        <v>Valid</v>
      </c>
      <c r="S1121" t="str">
        <f t="shared" si="103"/>
        <v>Valid</v>
      </c>
      <c r="T1121" t="str">
        <f t="shared" si="104"/>
        <v>Valid</v>
      </c>
      <c r="U1121" t="str">
        <f t="shared" si="105"/>
        <v>Valid</v>
      </c>
      <c r="V1121" t="str">
        <f t="shared" si="106"/>
        <v>Valid</v>
      </c>
      <c r="W1121" t="str">
        <f t="shared" si="107"/>
        <v>Outlier</v>
      </c>
    </row>
    <row r="1122" spans="1:23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  <c r="Q1122" t="str">
        <f>IF(COUNTIF($A$2:A1122,A1122)&gt;1,"Duplicate","Unique")</f>
        <v>Unique</v>
      </c>
      <c r="R1122" t="str">
        <f t="shared" si="102"/>
        <v>Valid</v>
      </c>
      <c r="S1122" t="str">
        <f t="shared" si="103"/>
        <v>Valid</v>
      </c>
      <c r="T1122" t="str">
        <f t="shared" si="104"/>
        <v>Valid</v>
      </c>
      <c r="U1122" t="str">
        <f t="shared" si="105"/>
        <v>Valid</v>
      </c>
      <c r="V1122" t="str">
        <f t="shared" si="106"/>
        <v>Valid</v>
      </c>
      <c r="W1122" t="str">
        <f t="shared" si="107"/>
        <v>Outlier</v>
      </c>
    </row>
    <row r="1123" spans="1:23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  <c r="Q1123" t="str">
        <f>IF(COUNTIF($A$2:A1123,A1123)&gt;1,"Duplicate","Unique")</f>
        <v>Unique</v>
      </c>
      <c r="R1123" t="str">
        <f t="shared" si="102"/>
        <v>Valid</v>
      </c>
      <c r="S1123" t="str">
        <f t="shared" si="103"/>
        <v>Valid</v>
      </c>
      <c r="T1123" t="str">
        <f t="shared" si="104"/>
        <v>Valid</v>
      </c>
      <c r="U1123" t="str">
        <f t="shared" si="105"/>
        <v>Valid</v>
      </c>
      <c r="V1123" t="str">
        <f t="shared" si="106"/>
        <v>Valid</v>
      </c>
      <c r="W1123" t="str">
        <f t="shared" si="107"/>
        <v>Outlier</v>
      </c>
    </row>
    <row r="1124" spans="1:23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  <c r="Q1124" t="str">
        <f>IF(COUNTIF($A$2:A1124,A1124)&gt;1,"Duplicate","Unique")</f>
        <v>Unique</v>
      </c>
      <c r="R1124" t="str">
        <f t="shared" si="102"/>
        <v>Valid</v>
      </c>
      <c r="S1124" t="str">
        <f t="shared" si="103"/>
        <v>Valid</v>
      </c>
      <c r="T1124" t="str">
        <f t="shared" si="104"/>
        <v>Valid</v>
      </c>
      <c r="U1124" t="str">
        <f t="shared" si="105"/>
        <v>Valid</v>
      </c>
      <c r="V1124" t="str">
        <f t="shared" si="106"/>
        <v>Valid</v>
      </c>
      <c r="W1124" t="str">
        <f t="shared" si="107"/>
        <v>Outlier</v>
      </c>
    </row>
    <row r="1125" spans="1:23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  <c r="Q1125" t="str">
        <f>IF(COUNTIF($A$2:A1125,A1125)&gt;1,"Duplicate","Unique")</f>
        <v>Unique</v>
      </c>
      <c r="R1125" t="str">
        <f t="shared" si="102"/>
        <v>Valid</v>
      </c>
      <c r="S1125" t="str">
        <f t="shared" si="103"/>
        <v>Valid</v>
      </c>
      <c r="T1125" t="str">
        <f t="shared" si="104"/>
        <v>Valid</v>
      </c>
      <c r="U1125" t="str">
        <f t="shared" si="105"/>
        <v>Valid</v>
      </c>
      <c r="V1125" t="str">
        <f t="shared" si="106"/>
        <v>Valid</v>
      </c>
      <c r="W1125" t="str">
        <f t="shared" si="107"/>
        <v>Outlier</v>
      </c>
    </row>
    <row r="1126" spans="1:23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  <c r="Q1126" t="str">
        <f>IF(COUNTIF($A$2:A1126,A1126)&gt;1,"Duplicate","Unique")</f>
        <v>Unique</v>
      </c>
      <c r="R1126" t="str">
        <f t="shared" si="102"/>
        <v>Valid</v>
      </c>
      <c r="S1126" t="str">
        <f t="shared" si="103"/>
        <v>Valid</v>
      </c>
      <c r="T1126" t="str">
        <f t="shared" si="104"/>
        <v>Valid</v>
      </c>
      <c r="U1126" t="str">
        <f t="shared" si="105"/>
        <v>Valid</v>
      </c>
      <c r="V1126" t="str">
        <f t="shared" si="106"/>
        <v>Valid</v>
      </c>
      <c r="W1126" t="str">
        <f t="shared" si="107"/>
        <v>Outlier</v>
      </c>
    </row>
    <row r="1127" spans="1:23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  <c r="Q1127" t="str">
        <f>IF(COUNTIF($A$2:A1127,A1127)&gt;1,"Duplicate","Unique")</f>
        <v>Unique</v>
      </c>
      <c r="R1127" t="str">
        <f t="shared" si="102"/>
        <v>Valid</v>
      </c>
      <c r="S1127" t="str">
        <f t="shared" si="103"/>
        <v>Valid</v>
      </c>
      <c r="T1127" t="str">
        <f t="shared" si="104"/>
        <v>Valid</v>
      </c>
      <c r="U1127" t="str">
        <f t="shared" si="105"/>
        <v>Valid</v>
      </c>
      <c r="V1127" t="str">
        <f t="shared" si="106"/>
        <v>Valid</v>
      </c>
      <c r="W1127" t="str">
        <f t="shared" si="107"/>
        <v>Outlier</v>
      </c>
    </row>
    <row r="1128" spans="1:23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  <c r="Q1128" t="str">
        <f>IF(COUNTIF($A$2:A1128,A1128)&gt;1,"Duplicate","Unique")</f>
        <v>Unique</v>
      </c>
      <c r="R1128" t="str">
        <f t="shared" si="102"/>
        <v>Valid</v>
      </c>
      <c r="S1128" t="str">
        <f t="shared" si="103"/>
        <v>Valid</v>
      </c>
      <c r="T1128" t="str">
        <f t="shared" si="104"/>
        <v>Valid</v>
      </c>
      <c r="U1128" t="str">
        <f t="shared" si="105"/>
        <v>Valid</v>
      </c>
      <c r="V1128" t="str">
        <f t="shared" si="106"/>
        <v>Valid</v>
      </c>
      <c r="W1128" t="str">
        <f t="shared" si="107"/>
        <v>Outlier</v>
      </c>
    </row>
    <row r="1129" spans="1:23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  <c r="Q1129" t="str">
        <f>IF(COUNTIF($A$2:A1129,A1129)&gt;1,"Duplicate","Unique")</f>
        <v>Unique</v>
      </c>
      <c r="R1129" t="str">
        <f t="shared" si="102"/>
        <v>Valid</v>
      </c>
      <c r="S1129" t="str">
        <f t="shared" si="103"/>
        <v>Valid</v>
      </c>
      <c r="T1129" t="str">
        <f t="shared" si="104"/>
        <v>Valid</v>
      </c>
      <c r="U1129" t="str">
        <f t="shared" si="105"/>
        <v>Valid</v>
      </c>
      <c r="V1129" t="str">
        <f t="shared" si="106"/>
        <v>Valid</v>
      </c>
      <c r="W1129" t="str">
        <f t="shared" si="107"/>
        <v>Outlier</v>
      </c>
    </row>
    <row r="1130" spans="1:23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  <c r="Q1130" t="str">
        <f>IF(COUNTIF($A$2:A1130,A1130)&gt;1,"Duplicate","Unique")</f>
        <v>Unique</v>
      </c>
      <c r="R1130" t="str">
        <f t="shared" si="102"/>
        <v>Valid</v>
      </c>
      <c r="S1130" t="str">
        <f t="shared" si="103"/>
        <v>Valid</v>
      </c>
      <c r="T1130" t="str">
        <f t="shared" si="104"/>
        <v>Valid</v>
      </c>
      <c r="U1130" t="str">
        <f t="shared" si="105"/>
        <v>Valid</v>
      </c>
      <c r="V1130" t="str">
        <f t="shared" si="106"/>
        <v>Valid</v>
      </c>
      <c r="W1130" t="str">
        <f t="shared" si="107"/>
        <v>Outlier</v>
      </c>
    </row>
    <row r="1131" spans="1:23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  <c r="Q1131" t="str">
        <f>IF(COUNTIF($A$2:A1131,A1131)&gt;1,"Duplicate","Unique")</f>
        <v>Unique</v>
      </c>
      <c r="R1131" t="str">
        <f t="shared" si="102"/>
        <v>Valid</v>
      </c>
      <c r="S1131" t="str">
        <f t="shared" si="103"/>
        <v>Valid</v>
      </c>
      <c r="T1131" t="str">
        <f t="shared" si="104"/>
        <v>Valid</v>
      </c>
      <c r="U1131" t="str">
        <f t="shared" si="105"/>
        <v>Valid</v>
      </c>
      <c r="V1131" t="str">
        <f t="shared" si="106"/>
        <v>Valid</v>
      </c>
      <c r="W1131" t="str">
        <f t="shared" si="107"/>
        <v>Outlier</v>
      </c>
    </row>
    <row r="1132" spans="1:23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  <c r="Q1132" t="str">
        <f>IF(COUNTIF($A$2:A1132,A1132)&gt;1,"Duplicate","Unique")</f>
        <v>Unique</v>
      </c>
      <c r="R1132" t="str">
        <f t="shared" si="102"/>
        <v>Valid</v>
      </c>
      <c r="S1132" t="str">
        <f t="shared" si="103"/>
        <v>Valid</v>
      </c>
      <c r="T1132" t="str">
        <f t="shared" si="104"/>
        <v>Valid</v>
      </c>
      <c r="U1132" t="str">
        <f t="shared" si="105"/>
        <v>Valid</v>
      </c>
      <c r="V1132" t="str">
        <f t="shared" si="106"/>
        <v>Valid</v>
      </c>
      <c r="W1132" t="str">
        <f t="shared" si="107"/>
        <v>Outlier</v>
      </c>
    </row>
    <row r="1133" spans="1:23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  <c r="Q1133" t="str">
        <f>IF(COUNTIF($A$2:A1133,A1133)&gt;1,"Duplicate","Unique")</f>
        <v>Unique</v>
      </c>
      <c r="R1133" t="str">
        <f t="shared" si="102"/>
        <v>Valid</v>
      </c>
      <c r="S1133" t="str">
        <f t="shared" si="103"/>
        <v>Valid</v>
      </c>
      <c r="T1133" t="str">
        <f t="shared" si="104"/>
        <v>Valid</v>
      </c>
      <c r="U1133" t="str">
        <f t="shared" si="105"/>
        <v>Valid</v>
      </c>
      <c r="V1133" t="str">
        <f t="shared" si="106"/>
        <v>Valid</v>
      </c>
      <c r="W1133" t="str">
        <f t="shared" si="107"/>
        <v>Outlier</v>
      </c>
    </row>
    <row r="1134" spans="1:23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  <c r="Q1134" t="str">
        <f>IF(COUNTIF($A$2:A1134,A1134)&gt;1,"Duplicate","Unique")</f>
        <v>Unique</v>
      </c>
      <c r="R1134" t="str">
        <f t="shared" si="102"/>
        <v>Valid</v>
      </c>
      <c r="S1134" t="str">
        <f t="shared" si="103"/>
        <v>Valid</v>
      </c>
      <c r="T1134" t="str">
        <f t="shared" si="104"/>
        <v>Valid</v>
      </c>
      <c r="U1134" t="str">
        <f t="shared" si="105"/>
        <v>Valid</v>
      </c>
      <c r="V1134" t="str">
        <f t="shared" si="106"/>
        <v>Valid</v>
      </c>
      <c r="W1134" t="str">
        <f t="shared" si="107"/>
        <v>Outlier</v>
      </c>
    </row>
    <row r="1135" spans="1:23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  <c r="Q1135" t="str">
        <f>IF(COUNTIF($A$2:A1135,A1135)&gt;1,"Duplicate","Unique")</f>
        <v>Unique</v>
      </c>
      <c r="R1135" t="str">
        <f t="shared" si="102"/>
        <v>Valid</v>
      </c>
      <c r="S1135" t="str">
        <f t="shared" si="103"/>
        <v>Valid</v>
      </c>
      <c r="T1135" t="str">
        <f t="shared" si="104"/>
        <v>Valid</v>
      </c>
      <c r="U1135" t="str">
        <f t="shared" si="105"/>
        <v>Valid</v>
      </c>
      <c r="V1135" t="str">
        <f t="shared" si="106"/>
        <v>Valid</v>
      </c>
      <c r="W1135" t="str">
        <f t="shared" si="107"/>
        <v>Outlier</v>
      </c>
    </row>
    <row r="1136" spans="1:23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  <c r="Q1136" t="str">
        <f>IF(COUNTIF($A$2:A1136,A1136)&gt;1,"Duplicate","Unique")</f>
        <v>Unique</v>
      </c>
      <c r="R1136" t="str">
        <f t="shared" si="102"/>
        <v>Valid</v>
      </c>
      <c r="S1136" t="str">
        <f t="shared" si="103"/>
        <v>Valid</v>
      </c>
      <c r="T1136" t="str">
        <f t="shared" si="104"/>
        <v>Valid</v>
      </c>
      <c r="U1136" t="str">
        <f t="shared" si="105"/>
        <v>Valid</v>
      </c>
      <c r="V1136" t="str">
        <f t="shared" si="106"/>
        <v>Valid</v>
      </c>
      <c r="W1136" t="str">
        <f t="shared" si="107"/>
        <v>Outlier</v>
      </c>
    </row>
    <row r="1137" spans="1:23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  <c r="Q1137" t="str">
        <f>IF(COUNTIF($A$2:A1137,A1137)&gt;1,"Duplicate","Unique")</f>
        <v>Unique</v>
      </c>
      <c r="R1137" t="str">
        <f t="shared" si="102"/>
        <v>Valid</v>
      </c>
      <c r="S1137" t="str">
        <f t="shared" si="103"/>
        <v>Valid</v>
      </c>
      <c r="T1137" t="str">
        <f t="shared" si="104"/>
        <v>Valid</v>
      </c>
      <c r="U1137" t="str">
        <f t="shared" si="105"/>
        <v>Valid</v>
      </c>
      <c r="V1137" t="str">
        <f t="shared" si="106"/>
        <v>Valid</v>
      </c>
      <c r="W1137" t="str">
        <f t="shared" si="107"/>
        <v>Outlier</v>
      </c>
    </row>
    <row r="1138" spans="1:23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  <c r="Q1138" t="str">
        <f>IF(COUNTIF($A$2:A1138,A1138)&gt;1,"Duplicate","Unique")</f>
        <v>Unique</v>
      </c>
      <c r="R1138" t="str">
        <f t="shared" si="102"/>
        <v>Valid</v>
      </c>
      <c r="S1138" t="str">
        <f t="shared" si="103"/>
        <v>Valid</v>
      </c>
      <c r="T1138" t="str">
        <f t="shared" si="104"/>
        <v>Valid</v>
      </c>
      <c r="U1138" t="str">
        <f t="shared" si="105"/>
        <v>Valid</v>
      </c>
      <c r="V1138" t="str">
        <f t="shared" si="106"/>
        <v>Valid</v>
      </c>
      <c r="W1138" t="str">
        <f t="shared" si="107"/>
        <v>Outlier</v>
      </c>
    </row>
    <row r="1139" spans="1:23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  <c r="Q1139" t="str">
        <f>IF(COUNTIF($A$2:A1139,A1139)&gt;1,"Duplicate","Unique")</f>
        <v>Unique</v>
      </c>
      <c r="R1139" t="str">
        <f t="shared" si="102"/>
        <v>Valid</v>
      </c>
      <c r="S1139" t="str">
        <f t="shared" si="103"/>
        <v>Valid</v>
      </c>
      <c r="T1139" t="str">
        <f t="shared" si="104"/>
        <v>Valid</v>
      </c>
      <c r="U1139" t="str">
        <f t="shared" si="105"/>
        <v>Valid</v>
      </c>
      <c r="V1139" t="str">
        <f t="shared" si="106"/>
        <v>Valid</v>
      </c>
      <c r="W1139" t="str">
        <f t="shared" si="107"/>
        <v>Outlier</v>
      </c>
    </row>
    <row r="1140" spans="1:23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  <c r="Q1140" t="str">
        <f>IF(COUNTIF($A$2:A1140,A1140)&gt;1,"Duplicate","Unique")</f>
        <v>Unique</v>
      </c>
      <c r="R1140" t="str">
        <f t="shared" si="102"/>
        <v>Valid</v>
      </c>
      <c r="S1140" t="str">
        <f t="shared" si="103"/>
        <v>Valid</v>
      </c>
      <c r="T1140" t="str">
        <f t="shared" si="104"/>
        <v>Valid</v>
      </c>
      <c r="U1140" t="str">
        <f t="shared" si="105"/>
        <v>Valid</v>
      </c>
      <c r="V1140" t="str">
        <f t="shared" si="106"/>
        <v>Valid</v>
      </c>
      <c r="W1140" t="str">
        <f t="shared" si="107"/>
        <v>Outlier</v>
      </c>
    </row>
    <row r="1141" spans="1:23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  <c r="Q1141" t="str">
        <f>IF(COUNTIF($A$2:A1141,A1141)&gt;1,"Duplicate","Unique")</f>
        <v>Unique</v>
      </c>
      <c r="R1141" t="str">
        <f t="shared" si="102"/>
        <v>Valid</v>
      </c>
      <c r="S1141" t="str">
        <f t="shared" si="103"/>
        <v>Valid</v>
      </c>
      <c r="T1141" t="str">
        <f t="shared" si="104"/>
        <v>Valid</v>
      </c>
      <c r="U1141" t="str">
        <f t="shared" si="105"/>
        <v>Valid</v>
      </c>
      <c r="V1141" t="str">
        <f t="shared" si="106"/>
        <v>Valid</v>
      </c>
      <c r="W1141" t="str">
        <f t="shared" si="107"/>
        <v>Outlier</v>
      </c>
    </row>
    <row r="1142" spans="1:23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  <c r="Q1142" t="str">
        <f>IF(COUNTIF($A$2:A1142,A1142)&gt;1,"Duplicate","Unique")</f>
        <v>Unique</v>
      </c>
      <c r="R1142" t="str">
        <f t="shared" si="102"/>
        <v>Valid</v>
      </c>
      <c r="S1142" t="str">
        <f t="shared" si="103"/>
        <v>Valid</v>
      </c>
      <c r="T1142" t="str">
        <f t="shared" si="104"/>
        <v>Valid</v>
      </c>
      <c r="U1142" t="str">
        <f t="shared" si="105"/>
        <v>Valid</v>
      </c>
      <c r="V1142" t="str">
        <f t="shared" si="106"/>
        <v>Valid</v>
      </c>
      <c r="W1142" t="str">
        <f t="shared" si="107"/>
        <v>Outlier</v>
      </c>
    </row>
    <row r="1143" spans="1:23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  <c r="Q1143" t="str">
        <f>IF(COUNTIF($A$2:A1143,A1143)&gt;1,"Duplicate","Unique")</f>
        <v>Unique</v>
      </c>
      <c r="R1143" t="str">
        <f t="shared" si="102"/>
        <v>Valid</v>
      </c>
      <c r="S1143" t="str">
        <f t="shared" si="103"/>
        <v>Valid</v>
      </c>
      <c r="T1143" t="str">
        <f t="shared" si="104"/>
        <v>Valid</v>
      </c>
      <c r="U1143" t="str">
        <f t="shared" si="105"/>
        <v>Valid</v>
      </c>
      <c r="V1143" t="str">
        <f t="shared" si="106"/>
        <v>Valid</v>
      </c>
      <c r="W1143" t="str">
        <f t="shared" si="107"/>
        <v>Outlier</v>
      </c>
    </row>
    <row r="1144" spans="1:23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  <c r="Q1144" t="str">
        <f>IF(COUNTIF($A$2:A1144,A1144)&gt;1,"Duplicate","Unique")</f>
        <v>Unique</v>
      </c>
      <c r="R1144" t="str">
        <f t="shared" si="102"/>
        <v>Valid</v>
      </c>
      <c r="S1144" t="str">
        <f t="shared" si="103"/>
        <v>Valid</v>
      </c>
      <c r="T1144" t="str">
        <f t="shared" si="104"/>
        <v>Valid</v>
      </c>
      <c r="U1144" t="str">
        <f t="shared" si="105"/>
        <v>Valid</v>
      </c>
      <c r="V1144" t="str">
        <f t="shared" si="106"/>
        <v>Valid</v>
      </c>
      <c r="W1144" t="str">
        <f t="shared" si="107"/>
        <v>Outlier</v>
      </c>
    </row>
    <row r="1145" spans="1:23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  <c r="Q1145" t="str">
        <f>IF(COUNTIF($A$2:A1145,A1145)&gt;1,"Duplicate","Unique")</f>
        <v>Unique</v>
      </c>
      <c r="R1145" t="str">
        <f t="shared" si="102"/>
        <v>Valid</v>
      </c>
      <c r="S1145" t="str">
        <f t="shared" si="103"/>
        <v>Valid</v>
      </c>
      <c r="T1145" t="str">
        <f t="shared" si="104"/>
        <v>Valid</v>
      </c>
      <c r="U1145" t="str">
        <f t="shared" si="105"/>
        <v>Valid</v>
      </c>
      <c r="V1145" t="str">
        <f t="shared" si="106"/>
        <v>Valid</v>
      </c>
      <c r="W1145" t="str">
        <f t="shared" si="107"/>
        <v>Outlier</v>
      </c>
    </row>
    <row r="1146" spans="1:23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  <c r="Q1146" t="str">
        <f>IF(COUNTIF($A$2:A1146,A1146)&gt;1,"Duplicate","Unique")</f>
        <v>Unique</v>
      </c>
      <c r="R1146" t="str">
        <f t="shared" si="102"/>
        <v>Valid</v>
      </c>
      <c r="S1146" t="str">
        <f t="shared" si="103"/>
        <v>Valid</v>
      </c>
      <c r="T1146" t="str">
        <f t="shared" si="104"/>
        <v>Valid</v>
      </c>
      <c r="U1146" t="str">
        <f t="shared" si="105"/>
        <v>Valid</v>
      </c>
      <c r="V1146" t="str">
        <f t="shared" si="106"/>
        <v>Valid</v>
      </c>
      <c r="W1146" t="str">
        <f t="shared" si="107"/>
        <v>Outlier</v>
      </c>
    </row>
    <row r="1147" spans="1:23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  <c r="Q1147" t="str">
        <f>IF(COUNTIF($A$2:A1147,A1147)&gt;1,"Duplicate","Unique")</f>
        <v>Unique</v>
      </c>
      <c r="R1147" t="str">
        <f t="shared" si="102"/>
        <v>Valid</v>
      </c>
      <c r="S1147" t="str">
        <f t="shared" si="103"/>
        <v>Valid</v>
      </c>
      <c r="T1147" t="str">
        <f t="shared" si="104"/>
        <v>Valid</v>
      </c>
      <c r="U1147" t="str">
        <f t="shared" si="105"/>
        <v>Valid</v>
      </c>
      <c r="V1147" t="str">
        <f t="shared" si="106"/>
        <v>Valid</v>
      </c>
      <c r="W1147" t="str">
        <f t="shared" si="107"/>
        <v>Outlier</v>
      </c>
    </row>
    <row r="1148" spans="1:23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  <c r="Q1148" t="str">
        <f>IF(COUNTIF($A$2:A1148,A1148)&gt;1,"Duplicate","Unique")</f>
        <v>Unique</v>
      </c>
      <c r="R1148" t="str">
        <f t="shared" si="102"/>
        <v>Valid</v>
      </c>
      <c r="S1148" t="str">
        <f t="shared" si="103"/>
        <v>Valid</v>
      </c>
      <c r="T1148" t="str">
        <f t="shared" si="104"/>
        <v>Valid</v>
      </c>
      <c r="U1148" t="str">
        <f t="shared" si="105"/>
        <v>Valid</v>
      </c>
      <c r="V1148" t="str">
        <f t="shared" si="106"/>
        <v>Valid</v>
      </c>
      <c r="W1148" t="str">
        <f t="shared" si="107"/>
        <v>Outlier</v>
      </c>
    </row>
    <row r="1149" spans="1:23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  <c r="Q1149" t="str">
        <f>IF(COUNTIF($A$2:A1149,A1149)&gt;1,"Duplicate","Unique")</f>
        <v>Unique</v>
      </c>
      <c r="R1149" t="str">
        <f t="shared" si="102"/>
        <v>Valid</v>
      </c>
      <c r="S1149" t="str">
        <f t="shared" si="103"/>
        <v>Valid</v>
      </c>
      <c r="T1149" t="str">
        <f t="shared" si="104"/>
        <v>Valid</v>
      </c>
      <c r="U1149" t="str">
        <f t="shared" si="105"/>
        <v>Valid</v>
      </c>
      <c r="V1149" t="str">
        <f t="shared" si="106"/>
        <v>Valid</v>
      </c>
      <c r="W1149" t="str">
        <f t="shared" si="107"/>
        <v>Outlier</v>
      </c>
    </row>
    <row r="1150" spans="1:23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  <c r="Q1150" t="str">
        <f>IF(COUNTIF($A$2:A1150,A1150)&gt;1,"Duplicate","Unique")</f>
        <v>Unique</v>
      </c>
      <c r="R1150" t="str">
        <f t="shared" si="102"/>
        <v>Valid</v>
      </c>
      <c r="S1150" t="str">
        <f t="shared" si="103"/>
        <v>Valid</v>
      </c>
      <c r="T1150" t="str">
        <f t="shared" si="104"/>
        <v>Valid</v>
      </c>
      <c r="U1150" t="str">
        <f t="shared" si="105"/>
        <v>Valid</v>
      </c>
      <c r="V1150" t="str">
        <f t="shared" si="106"/>
        <v>Valid</v>
      </c>
      <c r="W1150" t="str">
        <f t="shared" si="107"/>
        <v>Outlier</v>
      </c>
    </row>
    <row r="1151" spans="1:23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  <c r="Q1151" t="str">
        <f>IF(COUNTIF($A$2:A1151,A1151)&gt;1,"Duplicate","Unique")</f>
        <v>Unique</v>
      </c>
      <c r="R1151" t="str">
        <f t="shared" si="102"/>
        <v>Valid</v>
      </c>
      <c r="S1151" t="str">
        <f t="shared" si="103"/>
        <v>Valid</v>
      </c>
      <c r="T1151" t="str">
        <f t="shared" si="104"/>
        <v>Valid</v>
      </c>
      <c r="U1151" t="str">
        <f t="shared" si="105"/>
        <v>Valid</v>
      </c>
      <c r="V1151" t="str">
        <f t="shared" si="106"/>
        <v>Valid</v>
      </c>
      <c r="W1151" t="str">
        <f t="shared" si="107"/>
        <v>Outlier</v>
      </c>
    </row>
    <row r="1152" spans="1:23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  <c r="Q1152" t="str">
        <f>IF(COUNTIF($A$2:A1152,A1152)&gt;1,"Duplicate","Unique")</f>
        <v>Unique</v>
      </c>
      <c r="R1152" t="str">
        <f t="shared" si="102"/>
        <v>Valid</v>
      </c>
      <c r="S1152" t="str">
        <f t="shared" si="103"/>
        <v>Valid</v>
      </c>
      <c r="T1152" t="str">
        <f t="shared" si="104"/>
        <v>Valid</v>
      </c>
      <c r="U1152" t="str">
        <f t="shared" si="105"/>
        <v>Valid</v>
      </c>
      <c r="V1152" t="str">
        <f t="shared" si="106"/>
        <v>Valid</v>
      </c>
      <c r="W1152" t="str">
        <f t="shared" si="107"/>
        <v>Outlier</v>
      </c>
    </row>
    <row r="1153" spans="1:23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  <c r="Q1153" t="str">
        <f>IF(COUNTIF($A$2:A1153,A1153)&gt;1,"Duplicate","Unique")</f>
        <v>Unique</v>
      </c>
      <c r="R1153" t="str">
        <f t="shared" si="102"/>
        <v>Valid</v>
      </c>
      <c r="S1153" t="str">
        <f t="shared" si="103"/>
        <v>Valid</v>
      </c>
      <c r="T1153" t="str">
        <f t="shared" si="104"/>
        <v>Valid</v>
      </c>
      <c r="U1153" t="str">
        <f t="shared" si="105"/>
        <v>Valid</v>
      </c>
      <c r="V1153" t="str">
        <f t="shared" si="106"/>
        <v>Valid</v>
      </c>
      <c r="W1153" t="str">
        <f t="shared" si="107"/>
        <v>Outlier</v>
      </c>
    </row>
    <row r="1154" spans="1:23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  <c r="Q1154" t="str">
        <f>IF(COUNTIF($A$2:A1154,A1154)&gt;1,"Duplicate","Unique")</f>
        <v>Unique</v>
      </c>
      <c r="R1154" t="str">
        <f t="shared" si="102"/>
        <v>Valid</v>
      </c>
      <c r="S1154" t="str">
        <f t="shared" si="103"/>
        <v>Valid</v>
      </c>
      <c r="T1154" t="str">
        <f t="shared" si="104"/>
        <v>Valid</v>
      </c>
      <c r="U1154" t="str">
        <f t="shared" si="105"/>
        <v>Valid</v>
      </c>
      <c r="V1154" t="str">
        <f t="shared" si="106"/>
        <v>Valid</v>
      </c>
      <c r="W1154" t="str">
        <f t="shared" si="107"/>
        <v>Outlier</v>
      </c>
    </row>
    <row r="1155" spans="1:23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  <c r="Q1155" t="str">
        <f>IF(COUNTIF($A$2:A1155,A1155)&gt;1,"Duplicate","Unique")</f>
        <v>Unique</v>
      </c>
      <c r="R1155" t="str">
        <f t="shared" ref="R1155:R1218" si="108">IF(OR(H1155=0,H1155=1),"Valid","Invalid")</f>
        <v>Valid</v>
      </c>
      <c r="S1155" t="str">
        <f t="shared" ref="S1155:S1218" si="109">IF(OR(I1155=0,I1155=1),"Valid","Invalid")</f>
        <v>Valid</v>
      </c>
      <c r="T1155" t="str">
        <f t="shared" ref="T1155:T1218" si="110">IF(OR(J1155=0,J1155=1),"Valid","Invalid")</f>
        <v>Valid</v>
      </c>
      <c r="U1155" t="str">
        <f t="shared" ref="U1155:U1218" si="111">IF(OR(K1155=0,K1155=1),"Valid","Invalid")</f>
        <v>Valid</v>
      </c>
      <c r="V1155" t="str">
        <f t="shared" ref="V1155:V1218" si="112">IF(OR(N1155=0,N1155=1),"Valid","Invalid")</f>
        <v>Valid</v>
      </c>
      <c r="W1155" t="str">
        <f t="shared" ref="W1155:W1218" si="113">IF(OR(L1155&lt;$B$23,L1155&gt;$B$24),"Outlier","Normal")</f>
        <v>Outlier</v>
      </c>
    </row>
    <row r="1156" spans="1:23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  <c r="Q1156" t="str">
        <f>IF(COUNTIF($A$2:A1156,A1156)&gt;1,"Duplicate","Unique")</f>
        <v>Unique</v>
      </c>
      <c r="R1156" t="str">
        <f t="shared" si="108"/>
        <v>Valid</v>
      </c>
      <c r="S1156" t="str">
        <f t="shared" si="109"/>
        <v>Valid</v>
      </c>
      <c r="T1156" t="str">
        <f t="shared" si="110"/>
        <v>Valid</v>
      </c>
      <c r="U1156" t="str">
        <f t="shared" si="111"/>
        <v>Valid</v>
      </c>
      <c r="V1156" t="str">
        <f t="shared" si="112"/>
        <v>Valid</v>
      </c>
      <c r="W1156" t="str">
        <f t="shared" si="113"/>
        <v>Outlier</v>
      </c>
    </row>
    <row r="1157" spans="1:23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  <c r="Q1157" t="str">
        <f>IF(COUNTIF($A$2:A1157,A1157)&gt;1,"Duplicate","Unique")</f>
        <v>Unique</v>
      </c>
      <c r="R1157" t="str">
        <f t="shared" si="108"/>
        <v>Valid</v>
      </c>
      <c r="S1157" t="str">
        <f t="shared" si="109"/>
        <v>Valid</v>
      </c>
      <c r="T1157" t="str">
        <f t="shared" si="110"/>
        <v>Valid</v>
      </c>
      <c r="U1157" t="str">
        <f t="shared" si="111"/>
        <v>Valid</v>
      </c>
      <c r="V1157" t="str">
        <f t="shared" si="112"/>
        <v>Valid</v>
      </c>
      <c r="W1157" t="str">
        <f t="shared" si="113"/>
        <v>Outlier</v>
      </c>
    </row>
    <row r="1158" spans="1:23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  <c r="Q1158" t="str">
        <f>IF(COUNTIF($A$2:A1158,A1158)&gt;1,"Duplicate","Unique")</f>
        <v>Unique</v>
      </c>
      <c r="R1158" t="str">
        <f t="shared" si="108"/>
        <v>Valid</v>
      </c>
      <c r="S1158" t="str">
        <f t="shared" si="109"/>
        <v>Valid</v>
      </c>
      <c r="T1158" t="str">
        <f t="shared" si="110"/>
        <v>Valid</v>
      </c>
      <c r="U1158" t="str">
        <f t="shared" si="111"/>
        <v>Valid</v>
      </c>
      <c r="V1158" t="str">
        <f t="shared" si="112"/>
        <v>Valid</v>
      </c>
      <c r="W1158" t="str">
        <f t="shared" si="113"/>
        <v>Outlier</v>
      </c>
    </row>
    <row r="1159" spans="1:23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  <c r="Q1159" t="str">
        <f>IF(COUNTIF($A$2:A1159,A1159)&gt;1,"Duplicate","Unique")</f>
        <v>Unique</v>
      </c>
      <c r="R1159" t="str">
        <f t="shared" si="108"/>
        <v>Valid</v>
      </c>
      <c r="S1159" t="str">
        <f t="shared" si="109"/>
        <v>Valid</v>
      </c>
      <c r="T1159" t="str">
        <f t="shared" si="110"/>
        <v>Valid</v>
      </c>
      <c r="U1159" t="str">
        <f t="shared" si="111"/>
        <v>Valid</v>
      </c>
      <c r="V1159" t="str">
        <f t="shared" si="112"/>
        <v>Valid</v>
      </c>
      <c r="W1159" t="str">
        <f t="shared" si="113"/>
        <v>Outlier</v>
      </c>
    </row>
    <row r="1160" spans="1:23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  <c r="Q1160" t="str">
        <f>IF(COUNTIF($A$2:A1160,A1160)&gt;1,"Duplicate","Unique")</f>
        <v>Unique</v>
      </c>
      <c r="R1160" t="str">
        <f t="shared" si="108"/>
        <v>Valid</v>
      </c>
      <c r="S1160" t="str">
        <f t="shared" si="109"/>
        <v>Valid</v>
      </c>
      <c r="T1160" t="str">
        <f t="shared" si="110"/>
        <v>Valid</v>
      </c>
      <c r="U1160" t="str">
        <f t="shared" si="111"/>
        <v>Valid</v>
      </c>
      <c r="V1160" t="str">
        <f t="shared" si="112"/>
        <v>Valid</v>
      </c>
      <c r="W1160" t="str">
        <f t="shared" si="113"/>
        <v>Outlier</v>
      </c>
    </row>
    <row r="1161" spans="1:23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  <c r="Q1161" t="str">
        <f>IF(COUNTIF($A$2:A1161,A1161)&gt;1,"Duplicate","Unique")</f>
        <v>Unique</v>
      </c>
      <c r="R1161" t="str">
        <f t="shared" si="108"/>
        <v>Valid</v>
      </c>
      <c r="S1161" t="str">
        <f t="shared" si="109"/>
        <v>Valid</v>
      </c>
      <c r="T1161" t="str">
        <f t="shared" si="110"/>
        <v>Valid</v>
      </c>
      <c r="U1161" t="str">
        <f t="shared" si="111"/>
        <v>Valid</v>
      </c>
      <c r="V1161" t="str">
        <f t="shared" si="112"/>
        <v>Valid</v>
      </c>
      <c r="W1161" t="str">
        <f t="shared" si="113"/>
        <v>Outlier</v>
      </c>
    </row>
    <row r="1162" spans="1:23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  <c r="Q1162" t="str">
        <f>IF(COUNTIF($A$2:A1162,A1162)&gt;1,"Duplicate","Unique")</f>
        <v>Unique</v>
      </c>
      <c r="R1162" t="str">
        <f t="shared" si="108"/>
        <v>Valid</v>
      </c>
      <c r="S1162" t="str">
        <f t="shared" si="109"/>
        <v>Valid</v>
      </c>
      <c r="T1162" t="str">
        <f t="shared" si="110"/>
        <v>Valid</v>
      </c>
      <c r="U1162" t="str">
        <f t="shared" si="111"/>
        <v>Valid</v>
      </c>
      <c r="V1162" t="str">
        <f t="shared" si="112"/>
        <v>Valid</v>
      </c>
      <c r="W1162" t="str">
        <f t="shared" si="113"/>
        <v>Outlier</v>
      </c>
    </row>
    <row r="1163" spans="1:23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  <c r="Q1163" t="str">
        <f>IF(COUNTIF($A$2:A1163,A1163)&gt;1,"Duplicate","Unique")</f>
        <v>Unique</v>
      </c>
      <c r="R1163" t="str">
        <f t="shared" si="108"/>
        <v>Valid</v>
      </c>
      <c r="S1163" t="str">
        <f t="shared" si="109"/>
        <v>Valid</v>
      </c>
      <c r="T1163" t="str">
        <f t="shared" si="110"/>
        <v>Valid</v>
      </c>
      <c r="U1163" t="str">
        <f t="shared" si="111"/>
        <v>Valid</v>
      </c>
      <c r="V1163" t="str">
        <f t="shared" si="112"/>
        <v>Valid</v>
      </c>
      <c r="W1163" t="str">
        <f t="shared" si="113"/>
        <v>Outlier</v>
      </c>
    </row>
    <row r="1164" spans="1:23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  <c r="Q1164" t="str">
        <f>IF(COUNTIF($A$2:A1164,A1164)&gt;1,"Duplicate","Unique")</f>
        <v>Unique</v>
      </c>
      <c r="R1164" t="str">
        <f t="shared" si="108"/>
        <v>Valid</v>
      </c>
      <c r="S1164" t="str">
        <f t="shared" si="109"/>
        <v>Valid</v>
      </c>
      <c r="T1164" t="str">
        <f t="shared" si="110"/>
        <v>Valid</v>
      </c>
      <c r="U1164" t="str">
        <f t="shared" si="111"/>
        <v>Valid</v>
      </c>
      <c r="V1164" t="str">
        <f t="shared" si="112"/>
        <v>Valid</v>
      </c>
      <c r="W1164" t="str">
        <f t="shared" si="113"/>
        <v>Outlier</v>
      </c>
    </row>
    <row r="1165" spans="1:23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  <c r="Q1165" t="str">
        <f>IF(COUNTIF($A$2:A1165,A1165)&gt;1,"Duplicate","Unique")</f>
        <v>Unique</v>
      </c>
      <c r="R1165" t="str">
        <f t="shared" si="108"/>
        <v>Valid</v>
      </c>
      <c r="S1165" t="str">
        <f t="shared" si="109"/>
        <v>Valid</v>
      </c>
      <c r="T1165" t="str">
        <f t="shared" si="110"/>
        <v>Valid</v>
      </c>
      <c r="U1165" t="str">
        <f t="shared" si="111"/>
        <v>Valid</v>
      </c>
      <c r="V1165" t="str">
        <f t="shared" si="112"/>
        <v>Valid</v>
      </c>
      <c r="W1165" t="str">
        <f t="shared" si="113"/>
        <v>Outlier</v>
      </c>
    </row>
    <row r="1166" spans="1:23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  <c r="Q1166" t="str">
        <f>IF(COUNTIF($A$2:A1166,A1166)&gt;1,"Duplicate","Unique")</f>
        <v>Unique</v>
      </c>
      <c r="R1166" t="str">
        <f t="shared" si="108"/>
        <v>Valid</v>
      </c>
      <c r="S1166" t="str">
        <f t="shared" si="109"/>
        <v>Valid</v>
      </c>
      <c r="T1166" t="str">
        <f t="shared" si="110"/>
        <v>Valid</v>
      </c>
      <c r="U1166" t="str">
        <f t="shared" si="111"/>
        <v>Valid</v>
      </c>
      <c r="V1166" t="str">
        <f t="shared" si="112"/>
        <v>Valid</v>
      </c>
      <c r="W1166" t="str">
        <f t="shared" si="113"/>
        <v>Outlier</v>
      </c>
    </row>
    <row r="1167" spans="1:23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  <c r="Q1167" t="str">
        <f>IF(COUNTIF($A$2:A1167,A1167)&gt;1,"Duplicate","Unique")</f>
        <v>Unique</v>
      </c>
      <c r="R1167" t="str">
        <f t="shared" si="108"/>
        <v>Valid</v>
      </c>
      <c r="S1167" t="str">
        <f t="shared" si="109"/>
        <v>Valid</v>
      </c>
      <c r="T1167" t="str">
        <f t="shared" si="110"/>
        <v>Valid</v>
      </c>
      <c r="U1167" t="str">
        <f t="shared" si="111"/>
        <v>Valid</v>
      </c>
      <c r="V1167" t="str">
        <f t="shared" si="112"/>
        <v>Valid</v>
      </c>
      <c r="W1167" t="str">
        <f t="shared" si="113"/>
        <v>Outlier</v>
      </c>
    </row>
    <row r="1168" spans="1:23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  <c r="Q1168" t="str">
        <f>IF(COUNTIF($A$2:A1168,A1168)&gt;1,"Duplicate","Unique")</f>
        <v>Unique</v>
      </c>
      <c r="R1168" t="str">
        <f t="shared" si="108"/>
        <v>Valid</v>
      </c>
      <c r="S1168" t="str">
        <f t="shared" si="109"/>
        <v>Valid</v>
      </c>
      <c r="T1168" t="str">
        <f t="shared" si="110"/>
        <v>Valid</v>
      </c>
      <c r="U1168" t="str">
        <f t="shared" si="111"/>
        <v>Valid</v>
      </c>
      <c r="V1168" t="str">
        <f t="shared" si="112"/>
        <v>Valid</v>
      </c>
      <c r="W1168" t="str">
        <f t="shared" si="113"/>
        <v>Outlier</v>
      </c>
    </row>
    <row r="1169" spans="1:23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  <c r="Q1169" t="str">
        <f>IF(COUNTIF($A$2:A1169,A1169)&gt;1,"Duplicate","Unique")</f>
        <v>Unique</v>
      </c>
      <c r="R1169" t="str">
        <f t="shared" si="108"/>
        <v>Valid</v>
      </c>
      <c r="S1169" t="str">
        <f t="shared" si="109"/>
        <v>Valid</v>
      </c>
      <c r="T1169" t="str">
        <f t="shared" si="110"/>
        <v>Valid</v>
      </c>
      <c r="U1169" t="str">
        <f t="shared" si="111"/>
        <v>Valid</v>
      </c>
      <c r="V1169" t="str">
        <f t="shared" si="112"/>
        <v>Valid</v>
      </c>
      <c r="W1169" t="str">
        <f t="shared" si="113"/>
        <v>Outlier</v>
      </c>
    </row>
    <row r="1170" spans="1:23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  <c r="Q1170" t="str">
        <f>IF(COUNTIF($A$2:A1170,A1170)&gt;1,"Duplicate","Unique")</f>
        <v>Unique</v>
      </c>
      <c r="R1170" t="str">
        <f t="shared" si="108"/>
        <v>Valid</v>
      </c>
      <c r="S1170" t="str">
        <f t="shared" si="109"/>
        <v>Valid</v>
      </c>
      <c r="T1170" t="str">
        <f t="shared" si="110"/>
        <v>Valid</v>
      </c>
      <c r="U1170" t="str">
        <f t="shared" si="111"/>
        <v>Valid</v>
      </c>
      <c r="V1170" t="str">
        <f t="shared" si="112"/>
        <v>Valid</v>
      </c>
      <c r="W1170" t="str">
        <f t="shared" si="113"/>
        <v>Outlier</v>
      </c>
    </row>
    <row r="1171" spans="1:23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  <c r="Q1171" t="str">
        <f>IF(COUNTIF($A$2:A1171,A1171)&gt;1,"Duplicate","Unique")</f>
        <v>Unique</v>
      </c>
      <c r="R1171" t="str">
        <f t="shared" si="108"/>
        <v>Valid</v>
      </c>
      <c r="S1171" t="str">
        <f t="shared" si="109"/>
        <v>Valid</v>
      </c>
      <c r="T1171" t="str">
        <f t="shared" si="110"/>
        <v>Valid</v>
      </c>
      <c r="U1171" t="str">
        <f t="shared" si="111"/>
        <v>Valid</v>
      </c>
      <c r="V1171" t="str">
        <f t="shared" si="112"/>
        <v>Valid</v>
      </c>
      <c r="W1171" t="str">
        <f t="shared" si="113"/>
        <v>Outlier</v>
      </c>
    </row>
    <row r="1172" spans="1:23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  <c r="Q1172" t="str">
        <f>IF(COUNTIF($A$2:A1172,A1172)&gt;1,"Duplicate","Unique")</f>
        <v>Unique</v>
      </c>
      <c r="R1172" t="str">
        <f t="shared" si="108"/>
        <v>Valid</v>
      </c>
      <c r="S1172" t="str">
        <f t="shared" si="109"/>
        <v>Valid</v>
      </c>
      <c r="T1172" t="str">
        <f t="shared" si="110"/>
        <v>Valid</v>
      </c>
      <c r="U1172" t="str">
        <f t="shared" si="111"/>
        <v>Valid</v>
      </c>
      <c r="V1172" t="str">
        <f t="shared" si="112"/>
        <v>Valid</v>
      </c>
      <c r="W1172" t="str">
        <f t="shared" si="113"/>
        <v>Outlier</v>
      </c>
    </row>
    <row r="1173" spans="1:23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  <c r="Q1173" t="str">
        <f>IF(COUNTIF($A$2:A1173,A1173)&gt;1,"Duplicate","Unique")</f>
        <v>Unique</v>
      </c>
      <c r="R1173" t="str">
        <f t="shared" si="108"/>
        <v>Valid</v>
      </c>
      <c r="S1173" t="str">
        <f t="shared" si="109"/>
        <v>Valid</v>
      </c>
      <c r="T1173" t="str">
        <f t="shared" si="110"/>
        <v>Valid</v>
      </c>
      <c r="U1173" t="str">
        <f t="shared" si="111"/>
        <v>Valid</v>
      </c>
      <c r="V1173" t="str">
        <f t="shared" si="112"/>
        <v>Valid</v>
      </c>
      <c r="W1173" t="str">
        <f t="shared" si="113"/>
        <v>Outlier</v>
      </c>
    </row>
    <row r="1174" spans="1:23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  <c r="Q1174" t="str">
        <f>IF(COUNTIF($A$2:A1174,A1174)&gt;1,"Duplicate","Unique")</f>
        <v>Unique</v>
      </c>
      <c r="R1174" t="str">
        <f t="shared" si="108"/>
        <v>Valid</v>
      </c>
      <c r="S1174" t="str">
        <f t="shared" si="109"/>
        <v>Valid</v>
      </c>
      <c r="T1174" t="str">
        <f t="shared" si="110"/>
        <v>Valid</v>
      </c>
      <c r="U1174" t="str">
        <f t="shared" si="111"/>
        <v>Valid</v>
      </c>
      <c r="V1174" t="str">
        <f t="shared" si="112"/>
        <v>Valid</v>
      </c>
      <c r="W1174" t="str">
        <f t="shared" si="113"/>
        <v>Outlier</v>
      </c>
    </row>
    <row r="1175" spans="1:23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  <c r="Q1175" t="str">
        <f>IF(COUNTIF($A$2:A1175,A1175)&gt;1,"Duplicate","Unique")</f>
        <v>Unique</v>
      </c>
      <c r="R1175" t="str">
        <f t="shared" si="108"/>
        <v>Valid</v>
      </c>
      <c r="S1175" t="str">
        <f t="shared" si="109"/>
        <v>Valid</v>
      </c>
      <c r="T1175" t="str">
        <f t="shared" si="110"/>
        <v>Valid</v>
      </c>
      <c r="U1175" t="str">
        <f t="shared" si="111"/>
        <v>Valid</v>
      </c>
      <c r="V1175" t="str">
        <f t="shared" si="112"/>
        <v>Valid</v>
      </c>
      <c r="W1175" t="str">
        <f t="shared" si="113"/>
        <v>Outlier</v>
      </c>
    </row>
    <row r="1176" spans="1:23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  <c r="Q1176" t="str">
        <f>IF(COUNTIF($A$2:A1176,A1176)&gt;1,"Duplicate","Unique")</f>
        <v>Unique</v>
      </c>
      <c r="R1176" t="str">
        <f t="shared" si="108"/>
        <v>Valid</v>
      </c>
      <c r="S1176" t="str">
        <f t="shared" si="109"/>
        <v>Valid</v>
      </c>
      <c r="T1176" t="str">
        <f t="shared" si="110"/>
        <v>Valid</v>
      </c>
      <c r="U1176" t="str">
        <f t="shared" si="111"/>
        <v>Valid</v>
      </c>
      <c r="V1176" t="str">
        <f t="shared" si="112"/>
        <v>Valid</v>
      </c>
      <c r="W1176" t="str">
        <f t="shared" si="113"/>
        <v>Outlier</v>
      </c>
    </row>
    <row r="1177" spans="1:23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  <c r="Q1177" t="str">
        <f>IF(COUNTIF($A$2:A1177,A1177)&gt;1,"Duplicate","Unique")</f>
        <v>Unique</v>
      </c>
      <c r="R1177" t="str">
        <f t="shared" si="108"/>
        <v>Valid</v>
      </c>
      <c r="S1177" t="str">
        <f t="shared" si="109"/>
        <v>Valid</v>
      </c>
      <c r="T1177" t="str">
        <f t="shared" si="110"/>
        <v>Valid</v>
      </c>
      <c r="U1177" t="str">
        <f t="shared" si="111"/>
        <v>Valid</v>
      </c>
      <c r="V1177" t="str">
        <f t="shared" si="112"/>
        <v>Valid</v>
      </c>
      <c r="W1177" t="str">
        <f t="shared" si="113"/>
        <v>Outlier</v>
      </c>
    </row>
    <row r="1178" spans="1:23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  <c r="Q1178" t="str">
        <f>IF(COUNTIF($A$2:A1178,A1178)&gt;1,"Duplicate","Unique")</f>
        <v>Unique</v>
      </c>
      <c r="R1178" t="str">
        <f t="shared" si="108"/>
        <v>Valid</v>
      </c>
      <c r="S1178" t="str">
        <f t="shared" si="109"/>
        <v>Valid</v>
      </c>
      <c r="T1178" t="str">
        <f t="shared" si="110"/>
        <v>Valid</v>
      </c>
      <c r="U1178" t="str">
        <f t="shared" si="111"/>
        <v>Valid</v>
      </c>
      <c r="V1178" t="str">
        <f t="shared" si="112"/>
        <v>Valid</v>
      </c>
      <c r="W1178" t="str">
        <f t="shared" si="113"/>
        <v>Outlier</v>
      </c>
    </row>
    <row r="1179" spans="1:23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  <c r="Q1179" t="str">
        <f>IF(COUNTIF($A$2:A1179,A1179)&gt;1,"Duplicate","Unique")</f>
        <v>Unique</v>
      </c>
      <c r="R1179" t="str">
        <f t="shared" si="108"/>
        <v>Valid</v>
      </c>
      <c r="S1179" t="str">
        <f t="shared" si="109"/>
        <v>Valid</v>
      </c>
      <c r="T1179" t="str">
        <f t="shared" si="110"/>
        <v>Valid</v>
      </c>
      <c r="U1179" t="str">
        <f t="shared" si="111"/>
        <v>Valid</v>
      </c>
      <c r="V1179" t="str">
        <f t="shared" si="112"/>
        <v>Valid</v>
      </c>
      <c r="W1179" t="str">
        <f t="shared" si="113"/>
        <v>Outlier</v>
      </c>
    </row>
    <row r="1180" spans="1:23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  <c r="Q1180" t="str">
        <f>IF(COUNTIF($A$2:A1180,A1180)&gt;1,"Duplicate","Unique")</f>
        <v>Unique</v>
      </c>
      <c r="R1180" t="str">
        <f t="shared" si="108"/>
        <v>Valid</v>
      </c>
      <c r="S1180" t="str">
        <f t="shared" si="109"/>
        <v>Valid</v>
      </c>
      <c r="T1180" t="str">
        <f t="shared" si="110"/>
        <v>Valid</v>
      </c>
      <c r="U1180" t="str">
        <f t="shared" si="111"/>
        <v>Valid</v>
      </c>
      <c r="V1180" t="str">
        <f t="shared" si="112"/>
        <v>Valid</v>
      </c>
      <c r="W1180" t="str">
        <f t="shared" si="113"/>
        <v>Outlier</v>
      </c>
    </row>
    <row r="1181" spans="1:23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  <c r="Q1181" t="str">
        <f>IF(COUNTIF($A$2:A1181,A1181)&gt;1,"Duplicate","Unique")</f>
        <v>Unique</v>
      </c>
      <c r="R1181" t="str">
        <f t="shared" si="108"/>
        <v>Valid</v>
      </c>
      <c r="S1181" t="str">
        <f t="shared" si="109"/>
        <v>Valid</v>
      </c>
      <c r="T1181" t="str">
        <f t="shared" si="110"/>
        <v>Valid</v>
      </c>
      <c r="U1181" t="str">
        <f t="shared" si="111"/>
        <v>Valid</v>
      </c>
      <c r="V1181" t="str">
        <f t="shared" si="112"/>
        <v>Valid</v>
      </c>
      <c r="W1181" t="str">
        <f t="shared" si="113"/>
        <v>Outlier</v>
      </c>
    </row>
    <row r="1182" spans="1:23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  <c r="Q1182" t="str">
        <f>IF(COUNTIF($A$2:A1182,A1182)&gt;1,"Duplicate","Unique")</f>
        <v>Unique</v>
      </c>
      <c r="R1182" t="str">
        <f t="shared" si="108"/>
        <v>Valid</v>
      </c>
      <c r="S1182" t="str">
        <f t="shared" si="109"/>
        <v>Valid</v>
      </c>
      <c r="T1182" t="str">
        <f t="shared" si="110"/>
        <v>Valid</v>
      </c>
      <c r="U1182" t="str">
        <f t="shared" si="111"/>
        <v>Valid</v>
      </c>
      <c r="V1182" t="str">
        <f t="shared" si="112"/>
        <v>Valid</v>
      </c>
      <c r="W1182" t="str">
        <f t="shared" si="113"/>
        <v>Outlier</v>
      </c>
    </row>
    <row r="1183" spans="1:23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  <c r="Q1183" t="str">
        <f>IF(COUNTIF($A$2:A1183,A1183)&gt;1,"Duplicate","Unique")</f>
        <v>Unique</v>
      </c>
      <c r="R1183" t="str">
        <f t="shared" si="108"/>
        <v>Valid</v>
      </c>
      <c r="S1183" t="str">
        <f t="shared" si="109"/>
        <v>Valid</v>
      </c>
      <c r="T1183" t="str">
        <f t="shared" si="110"/>
        <v>Valid</v>
      </c>
      <c r="U1183" t="str">
        <f t="shared" si="111"/>
        <v>Valid</v>
      </c>
      <c r="V1183" t="str">
        <f t="shared" si="112"/>
        <v>Valid</v>
      </c>
      <c r="W1183" t="str">
        <f t="shared" si="113"/>
        <v>Outlier</v>
      </c>
    </row>
    <row r="1184" spans="1:23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  <c r="Q1184" t="str">
        <f>IF(COUNTIF($A$2:A1184,A1184)&gt;1,"Duplicate","Unique")</f>
        <v>Unique</v>
      </c>
      <c r="R1184" t="str">
        <f t="shared" si="108"/>
        <v>Valid</v>
      </c>
      <c r="S1184" t="str">
        <f t="shared" si="109"/>
        <v>Valid</v>
      </c>
      <c r="T1184" t="str">
        <f t="shared" si="110"/>
        <v>Valid</v>
      </c>
      <c r="U1184" t="str">
        <f t="shared" si="111"/>
        <v>Valid</v>
      </c>
      <c r="V1184" t="str">
        <f t="shared" si="112"/>
        <v>Valid</v>
      </c>
      <c r="W1184" t="str">
        <f t="shared" si="113"/>
        <v>Outlier</v>
      </c>
    </row>
    <row r="1185" spans="1:23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  <c r="Q1185" t="str">
        <f>IF(COUNTIF($A$2:A1185,A1185)&gt;1,"Duplicate","Unique")</f>
        <v>Unique</v>
      </c>
      <c r="R1185" t="str">
        <f t="shared" si="108"/>
        <v>Valid</v>
      </c>
      <c r="S1185" t="str">
        <f t="shared" si="109"/>
        <v>Valid</v>
      </c>
      <c r="T1185" t="str">
        <f t="shared" si="110"/>
        <v>Valid</v>
      </c>
      <c r="U1185" t="str">
        <f t="shared" si="111"/>
        <v>Valid</v>
      </c>
      <c r="V1185" t="str">
        <f t="shared" si="112"/>
        <v>Valid</v>
      </c>
      <c r="W1185" t="str">
        <f t="shared" si="113"/>
        <v>Outlier</v>
      </c>
    </row>
    <row r="1186" spans="1:23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  <c r="Q1186" t="str">
        <f>IF(COUNTIF($A$2:A1186,A1186)&gt;1,"Duplicate","Unique")</f>
        <v>Unique</v>
      </c>
      <c r="R1186" t="str">
        <f t="shared" si="108"/>
        <v>Valid</v>
      </c>
      <c r="S1186" t="str">
        <f t="shared" si="109"/>
        <v>Valid</v>
      </c>
      <c r="T1186" t="str">
        <f t="shared" si="110"/>
        <v>Valid</v>
      </c>
      <c r="U1186" t="str">
        <f t="shared" si="111"/>
        <v>Valid</v>
      </c>
      <c r="V1186" t="str">
        <f t="shared" si="112"/>
        <v>Valid</v>
      </c>
      <c r="W1186" t="str">
        <f t="shared" si="113"/>
        <v>Outlier</v>
      </c>
    </row>
    <row r="1187" spans="1:23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  <c r="Q1187" t="str">
        <f>IF(COUNTIF($A$2:A1187,A1187)&gt;1,"Duplicate","Unique")</f>
        <v>Unique</v>
      </c>
      <c r="R1187" t="str">
        <f t="shared" si="108"/>
        <v>Valid</v>
      </c>
      <c r="S1187" t="str">
        <f t="shared" si="109"/>
        <v>Valid</v>
      </c>
      <c r="T1187" t="str">
        <f t="shared" si="110"/>
        <v>Valid</v>
      </c>
      <c r="U1187" t="str">
        <f t="shared" si="111"/>
        <v>Valid</v>
      </c>
      <c r="V1187" t="str">
        <f t="shared" si="112"/>
        <v>Valid</v>
      </c>
      <c r="W1187" t="str">
        <f t="shared" si="113"/>
        <v>Outlier</v>
      </c>
    </row>
    <row r="1188" spans="1:23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  <c r="Q1188" t="str">
        <f>IF(COUNTIF($A$2:A1188,A1188)&gt;1,"Duplicate","Unique")</f>
        <v>Unique</v>
      </c>
      <c r="R1188" t="str">
        <f t="shared" si="108"/>
        <v>Valid</v>
      </c>
      <c r="S1188" t="str">
        <f t="shared" si="109"/>
        <v>Valid</v>
      </c>
      <c r="T1188" t="str">
        <f t="shared" si="110"/>
        <v>Valid</v>
      </c>
      <c r="U1188" t="str">
        <f t="shared" si="111"/>
        <v>Valid</v>
      </c>
      <c r="V1188" t="str">
        <f t="shared" si="112"/>
        <v>Valid</v>
      </c>
      <c r="W1188" t="str">
        <f t="shared" si="113"/>
        <v>Outlier</v>
      </c>
    </row>
    <row r="1189" spans="1:23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  <c r="Q1189" t="str">
        <f>IF(COUNTIF($A$2:A1189,A1189)&gt;1,"Duplicate","Unique")</f>
        <v>Unique</v>
      </c>
      <c r="R1189" t="str">
        <f t="shared" si="108"/>
        <v>Valid</v>
      </c>
      <c r="S1189" t="str">
        <f t="shared" si="109"/>
        <v>Valid</v>
      </c>
      <c r="T1189" t="str">
        <f t="shared" si="110"/>
        <v>Valid</v>
      </c>
      <c r="U1189" t="str">
        <f t="shared" si="111"/>
        <v>Valid</v>
      </c>
      <c r="V1189" t="str">
        <f t="shared" si="112"/>
        <v>Valid</v>
      </c>
      <c r="W1189" t="str">
        <f t="shared" si="113"/>
        <v>Outlier</v>
      </c>
    </row>
    <row r="1190" spans="1:23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  <c r="Q1190" t="str">
        <f>IF(COUNTIF($A$2:A1190,A1190)&gt;1,"Duplicate","Unique")</f>
        <v>Unique</v>
      </c>
      <c r="R1190" t="str">
        <f t="shared" si="108"/>
        <v>Valid</v>
      </c>
      <c r="S1190" t="str">
        <f t="shared" si="109"/>
        <v>Valid</v>
      </c>
      <c r="T1190" t="str">
        <f t="shared" si="110"/>
        <v>Valid</v>
      </c>
      <c r="U1190" t="str">
        <f t="shared" si="111"/>
        <v>Valid</v>
      </c>
      <c r="V1190" t="str">
        <f t="shared" si="112"/>
        <v>Valid</v>
      </c>
      <c r="W1190" t="str">
        <f t="shared" si="113"/>
        <v>Outlier</v>
      </c>
    </row>
    <row r="1191" spans="1:23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  <c r="Q1191" t="str">
        <f>IF(COUNTIF($A$2:A1191,A1191)&gt;1,"Duplicate","Unique")</f>
        <v>Unique</v>
      </c>
      <c r="R1191" t="str">
        <f t="shared" si="108"/>
        <v>Valid</v>
      </c>
      <c r="S1191" t="str">
        <f t="shared" si="109"/>
        <v>Valid</v>
      </c>
      <c r="T1191" t="str">
        <f t="shared" si="110"/>
        <v>Valid</v>
      </c>
      <c r="U1191" t="str">
        <f t="shared" si="111"/>
        <v>Valid</v>
      </c>
      <c r="V1191" t="str">
        <f t="shared" si="112"/>
        <v>Valid</v>
      </c>
      <c r="W1191" t="str">
        <f t="shared" si="113"/>
        <v>Outlier</v>
      </c>
    </row>
    <row r="1192" spans="1:23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  <c r="Q1192" t="str">
        <f>IF(COUNTIF($A$2:A1192,A1192)&gt;1,"Duplicate","Unique")</f>
        <v>Unique</v>
      </c>
      <c r="R1192" t="str">
        <f t="shared" si="108"/>
        <v>Valid</v>
      </c>
      <c r="S1192" t="str">
        <f t="shared" si="109"/>
        <v>Valid</v>
      </c>
      <c r="T1192" t="str">
        <f t="shared" si="110"/>
        <v>Valid</v>
      </c>
      <c r="U1192" t="str">
        <f t="shared" si="111"/>
        <v>Valid</v>
      </c>
      <c r="V1192" t="str">
        <f t="shared" si="112"/>
        <v>Valid</v>
      </c>
      <c r="W1192" t="str">
        <f t="shared" si="113"/>
        <v>Outlier</v>
      </c>
    </row>
    <row r="1193" spans="1:23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  <c r="Q1193" t="str">
        <f>IF(COUNTIF($A$2:A1193,A1193)&gt;1,"Duplicate","Unique")</f>
        <v>Unique</v>
      </c>
      <c r="R1193" t="str">
        <f t="shared" si="108"/>
        <v>Valid</v>
      </c>
      <c r="S1193" t="str">
        <f t="shared" si="109"/>
        <v>Valid</v>
      </c>
      <c r="T1193" t="str">
        <f t="shared" si="110"/>
        <v>Valid</v>
      </c>
      <c r="U1193" t="str">
        <f t="shared" si="111"/>
        <v>Valid</v>
      </c>
      <c r="V1193" t="str">
        <f t="shared" si="112"/>
        <v>Valid</v>
      </c>
      <c r="W1193" t="str">
        <f t="shared" si="113"/>
        <v>Outlier</v>
      </c>
    </row>
    <row r="1194" spans="1:23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  <c r="Q1194" t="str">
        <f>IF(COUNTIF($A$2:A1194,A1194)&gt;1,"Duplicate","Unique")</f>
        <v>Unique</v>
      </c>
      <c r="R1194" t="str">
        <f t="shared" si="108"/>
        <v>Valid</v>
      </c>
      <c r="S1194" t="str">
        <f t="shared" si="109"/>
        <v>Valid</v>
      </c>
      <c r="T1194" t="str">
        <f t="shared" si="110"/>
        <v>Valid</v>
      </c>
      <c r="U1194" t="str">
        <f t="shared" si="111"/>
        <v>Valid</v>
      </c>
      <c r="V1194" t="str">
        <f t="shared" si="112"/>
        <v>Valid</v>
      </c>
      <c r="W1194" t="str">
        <f t="shared" si="113"/>
        <v>Outlier</v>
      </c>
    </row>
    <row r="1195" spans="1:23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  <c r="Q1195" t="str">
        <f>IF(COUNTIF($A$2:A1195,A1195)&gt;1,"Duplicate","Unique")</f>
        <v>Unique</v>
      </c>
      <c r="R1195" t="str">
        <f t="shared" si="108"/>
        <v>Valid</v>
      </c>
      <c r="S1195" t="str">
        <f t="shared" si="109"/>
        <v>Valid</v>
      </c>
      <c r="T1195" t="str">
        <f t="shared" si="110"/>
        <v>Valid</v>
      </c>
      <c r="U1195" t="str">
        <f t="shared" si="111"/>
        <v>Valid</v>
      </c>
      <c r="V1195" t="str">
        <f t="shared" si="112"/>
        <v>Valid</v>
      </c>
      <c r="W1195" t="str">
        <f t="shared" si="113"/>
        <v>Outlier</v>
      </c>
    </row>
    <row r="1196" spans="1:23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  <c r="Q1196" t="str">
        <f>IF(COUNTIF($A$2:A1196,A1196)&gt;1,"Duplicate","Unique")</f>
        <v>Unique</v>
      </c>
      <c r="R1196" t="str">
        <f t="shared" si="108"/>
        <v>Valid</v>
      </c>
      <c r="S1196" t="str">
        <f t="shared" si="109"/>
        <v>Valid</v>
      </c>
      <c r="T1196" t="str">
        <f t="shared" si="110"/>
        <v>Valid</v>
      </c>
      <c r="U1196" t="str">
        <f t="shared" si="111"/>
        <v>Valid</v>
      </c>
      <c r="V1196" t="str">
        <f t="shared" si="112"/>
        <v>Valid</v>
      </c>
      <c r="W1196" t="str">
        <f t="shared" si="113"/>
        <v>Outlier</v>
      </c>
    </row>
    <row r="1197" spans="1:23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  <c r="Q1197" t="str">
        <f>IF(COUNTIF($A$2:A1197,A1197)&gt;1,"Duplicate","Unique")</f>
        <v>Unique</v>
      </c>
      <c r="R1197" t="str">
        <f t="shared" si="108"/>
        <v>Valid</v>
      </c>
      <c r="S1197" t="str">
        <f t="shared" si="109"/>
        <v>Valid</v>
      </c>
      <c r="T1197" t="str">
        <f t="shared" si="110"/>
        <v>Valid</v>
      </c>
      <c r="U1197" t="str">
        <f t="shared" si="111"/>
        <v>Valid</v>
      </c>
      <c r="V1197" t="str">
        <f t="shared" si="112"/>
        <v>Valid</v>
      </c>
      <c r="W1197" t="str">
        <f t="shared" si="113"/>
        <v>Outlier</v>
      </c>
    </row>
    <row r="1198" spans="1:23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  <c r="Q1198" t="str">
        <f>IF(COUNTIF($A$2:A1198,A1198)&gt;1,"Duplicate","Unique")</f>
        <v>Unique</v>
      </c>
      <c r="R1198" t="str">
        <f t="shared" si="108"/>
        <v>Valid</v>
      </c>
      <c r="S1198" t="str">
        <f t="shared" si="109"/>
        <v>Valid</v>
      </c>
      <c r="T1198" t="str">
        <f t="shared" si="110"/>
        <v>Valid</v>
      </c>
      <c r="U1198" t="str">
        <f t="shared" si="111"/>
        <v>Valid</v>
      </c>
      <c r="V1198" t="str">
        <f t="shared" si="112"/>
        <v>Valid</v>
      </c>
      <c r="W1198" t="str">
        <f t="shared" si="113"/>
        <v>Outlier</v>
      </c>
    </row>
    <row r="1199" spans="1:23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  <c r="Q1199" t="str">
        <f>IF(COUNTIF($A$2:A1199,A1199)&gt;1,"Duplicate","Unique")</f>
        <v>Unique</v>
      </c>
      <c r="R1199" t="str">
        <f t="shared" si="108"/>
        <v>Valid</v>
      </c>
      <c r="S1199" t="str">
        <f t="shared" si="109"/>
        <v>Valid</v>
      </c>
      <c r="T1199" t="str">
        <f t="shared" si="110"/>
        <v>Valid</v>
      </c>
      <c r="U1199" t="str">
        <f t="shared" si="111"/>
        <v>Valid</v>
      </c>
      <c r="V1199" t="str">
        <f t="shared" si="112"/>
        <v>Valid</v>
      </c>
      <c r="W1199" t="str">
        <f t="shared" si="113"/>
        <v>Outlier</v>
      </c>
    </row>
    <row r="1200" spans="1:23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  <c r="Q1200" t="str">
        <f>IF(COUNTIF($A$2:A1200,A1200)&gt;1,"Duplicate","Unique")</f>
        <v>Unique</v>
      </c>
      <c r="R1200" t="str">
        <f t="shared" si="108"/>
        <v>Valid</v>
      </c>
      <c r="S1200" t="str">
        <f t="shared" si="109"/>
        <v>Valid</v>
      </c>
      <c r="T1200" t="str">
        <f t="shared" si="110"/>
        <v>Valid</v>
      </c>
      <c r="U1200" t="str">
        <f t="shared" si="111"/>
        <v>Valid</v>
      </c>
      <c r="V1200" t="str">
        <f t="shared" si="112"/>
        <v>Valid</v>
      </c>
      <c r="W1200" t="str">
        <f t="shared" si="113"/>
        <v>Outlier</v>
      </c>
    </row>
    <row r="1201" spans="1:23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  <c r="Q1201" t="str">
        <f>IF(COUNTIF($A$2:A1201,A1201)&gt;1,"Duplicate","Unique")</f>
        <v>Unique</v>
      </c>
      <c r="R1201" t="str">
        <f t="shared" si="108"/>
        <v>Valid</v>
      </c>
      <c r="S1201" t="str">
        <f t="shared" si="109"/>
        <v>Valid</v>
      </c>
      <c r="T1201" t="str">
        <f t="shared" si="110"/>
        <v>Valid</v>
      </c>
      <c r="U1201" t="str">
        <f t="shared" si="111"/>
        <v>Valid</v>
      </c>
      <c r="V1201" t="str">
        <f t="shared" si="112"/>
        <v>Valid</v>
      </c>
      <c r="W1201" t="str">
        <f t="shared" si="113"/>
        <v>Outlier</v>
      </c>
    </row>
    <row r="1202" spans="1:23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  <c r="Q1202" t="str">
        <f>IF(COUNTIF($A$2:A1202,A1202)&gt;1,"Duplicate","Unique")</f>
        <v>Unique</v>
      </c>
      <c r="R1202" t="str">
        <f t="shared" si="108"/>
        <v>Valid</v>
      </c>
      <c r="S1202" t="str">
        <f t="shared" si="109"/>
        <v>Valid</v>
      </c>
      <c r="T1202" t="str">
        <f t="shared" si="110"/>
        <v>Valid</v>
      </c>
      <c r="U1202" t="str">
        <f t="shared" si="111"/>
        <v>Valid</v>
      </c>
      <c r="V1202" t="str">
        <f t="shared" si="112"/>
        <v>Valid</v>
      </c>
      <c r="W1202" t="str">
        <f t="shared" si="113"/>
        <v>Outlier</v>
      </c>
    </row>
    <row r="1203" spans="1:23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  <c r="Q1203" t="str">
        <f>IF(COUNTIF($A$2:A1203,A1203)&gt;1,"Duplicate","Unique")</f>
        <v>Unique</v>
      </c>
      <c r="R1203" t="str">
        <f t="shared" si="108"/>
        <v>Valid</v>
      </c>
      <c r="S1203" t="str">
        <f t="shared" si="109"/>
        <v>Valid</v>
      </c>
      <c r="T1203" t="str">
        <f t="shared" si="110"/>
        <v>Valid</v>
      </c>
      <c r="U1203" t="str">
        <f t="shared" si="111"/>
        <v>Valid</v>
      </c>
      <c r="V1203" t="str">
        <f t="shared" si="112"/>
        <v>Valid</v>
      </c>
      <c r="W1203" t="str">
        <f t="shared" si="113"/>
        <v>Outlier</v>
      </c>
    </row>
    <row r="1204" spans="1:23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  <c r="Q1204" t="str">
        <f>IF(COUNTIF($A$2:A1204,A1204)&gt;1,"Duplicate","Unique")</f>
        <v>Unique</v>
      </c>
      <c r="R1204" t="str">
        <f t="shared" si="108"/>
        <v>Valid</v>
      </c>
      <c r="S1204" t="str">
        <f t="shared" si="109"/>
        <v>Valid</v>
      </c>
      <c r="T1204" t="str">
        <f t="shared" si="110"/>
        <v>Valid</v>
      </c>
      <c r="U1204" t="str">
        <f t="shared" si="111"/>
        <v>Valid</v>
      </c>
      <c r="V1204" t="str">
        <f t="shared" si="112"/>
        <v>Valid</v>
      </c>
      <c r="W1204" t="str">
        <f t="shared" si="113"/>
        <v>Outlier</v>
      </c>
    </row>
    <row r="1205" spans="1:23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  <c r="Q1205" t="str">
        <f>IF(COUNTIF($A$2:A1205,A1205)&gt;1,"Duplicate","Unique")</f>
        <v>Unique</v>
      </c>
      <c r="R1205" t="str">
        <f t="shared" si="108"/>
        <v>Valid</v>
      </c>
      <c r="S1205" t="str">
        <f t="shared" si="109"/>
        <v>Valid</v>
      </c>
      <c r="T1205" t="str">
        <f t="shared" si="110"/>
        <v>Valid</v>
      </c>
      <c r="U1205" t="str">
        <f t="shared" si="111"/>
        <v>Valid</v>
      </c>
      <c r="V1205" t="str">
        <f t="shared" si="112"/>
        <v>Valid</v>
      </c>
      <c r="W1205" t="str">
        <f t="shared" si="113"/>
        <v>Outlier</v>
      </c>
    </row>
    <row r="1206" spans="1:23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  <c r="Q1206" t="str">
        <f>IF(COUNTIF($A$2:A1206,A1206)&gt;1,"Duplicate","Unique")</f>
        <v>Unique</v>
      </c>
      <c r="R1206" t="str">
        <f t="shared" si="108"/>
        <v>Valid</v>
      </c>
      <c r="S1206" t="str">
        <f t="shared" si="109"/>
        <v>Valid</v>
      </c>
      <c r="T1206" t="str">
        <f t="shared" si="110"/>
        <v>Valid</v>
      </c>
      <c r="U1206" t="str">
        <f t="shared" si="111"/>
        <v>Valid</v>
      </c>
      <c r="V1206" t="str">
        <f t="shared" si="112"/>
        <v>Valid</v>
      </c>
      <c r="W1206" t="str">
        <f t="shared" si="113"/>
        <v>Outlier</v>
      </c>
    </row>
    <row r="1207" spans="1:23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  <c r="Q1207" t="str">
        <f>IF(COUNTIF($A$2:A1207,A1207)&gt;1,"Duplicate","Unique")</f>
        <v>Unique</v>
      </c>
      <c r="R1207" t="str">
        <f t="shared" si="108"/>
        <v>Valid</v>
      </c>
      <c r="S1207" t="str">
        <f t="shared" si="109"/>
        <v>Valid</v>
      </c>
      <c r="T1207" t="str">
        <f t="shared" si="110"/>
        <v>Valid</v>
      </c>
      <c r="U1207" t="str">
        <f t="shared" si="111"/>
        <v>Valid</v>
      </c>
      <c r="V1207" t="str">
        <f t="shared" si="112"/>
        <v>Valid</v>
      </c>
      <c r="W1207" t="str">
        <f t="shared" si="113"/>
        <v>Outlier</v>
      </c>
    </row>
    <row r="1208" spans="1:23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  <c r="Q1208" t="str">
        <f>IF(COUNTIF($A$2:A1208,A1208)&gt;1,"Duplicate","Unique")</f>
        <v>Unique</v>
      </c>
      <c r="R1208" t="str">
        <f t="shared" si="108"/>
        <v>Valid</v>
      </c>
      <c r="S1208" t="str">
        <f t="shared" si="109"/>
        <v>Valid</v>
      </c>
      <c r="T1208" t="str">
        <f t="shared" si="110"/>
        <v>Valid</v>
      </c>
      <c r="U1208" t="str">
        <f t="shared" si="111"/>
        <v>Valid</v>
      </c>
      <c r="V1208" t="str">
        <f t="shared" si="112"/>
        <v>Valid</v>
      </c>
      <c r="W1208" t="str">
        <f t="shared" si="113"/>
        <v>Outlier</v>
      </c>
    </row>
    <row r="1209" spans="1:23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  <c r="Q1209" t="str">
        <f>IF(COUNTIF($A$2:A1209,A1209)&gt;1,"Duplicate","Unique")</f>
        <v>Unique</v>
      </c>
      <c r="R1209" t="str">
        <f t="shared" si="108"/>
        <v>Valid</v>
      </c>
      <c r="S1209" t="str">
        <f t="shared" si="109"/>
        <v>Valid</v>
      </c>
      <c r="T1209" t="str">
        <f t="shared" si="110"/>
        <v>Valid</v>
      </c>
      <c r="U1209" t="str">
        <f t="shared" si="111"/>
        <v>Valid</v>
      </c>
      <c r="V1209" t="str">
        <f t="shared" si="112"/>
        <v>Valid</v>
      </c>
      <c r="W1209" t="str">
        <f t="shared" si="113"/>
        <v>Outlier</v>
      </c>
    </row>
    <row r="1210" spans="1:23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  <c r="Q1210" t="str">
        <f>IF(COUNTIF($A$2:A1210,A1210)&gt;1,"Duplicate","Unique")</f>
        <v>Unique</v>
      </c>
      <c r="R1210" t="str">
        <f t="shared" si="108"/>
        <v>Valid</v>
      </c>
      <c r="S1210" t="str">
        <f t="shared" si="109"/>
        <v>Valid</v>
      </c>
      <c r="T1210" t="str">
        <f t="shared" si="110"/>
        <v>Valid</v>
      </c>
      <c r="U1210" t="str">
        <f t="shared" si="111"/>
        <v>Valid</v>
      </c>
      <c r="V1210" t="str">
        <f t="shared" si="112"/>
        <v>Valid</v>
      </c>
      <c r="W1210" t="str">
        <f t="shared" si="113"/>
        <v>Outlier</v>
      </c>
    </row>
    <row r="1211" spans="1:23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  <c r="Q1211" t="str">
        <f>IF(COUNTIF($A$2:A1211,A1211)&gt;1,"Duplicate","Unique")</f>
        <v>Unique</v>
      </c>
      <c r="R1211" t="str">
        <f t="shared" si="108"/>
        <v>Valid</v>
      </c>
      <c r="S1211" t="str">
        <f t="shared" si="109"/>
        <v>Valid</v>
      </c>
      <c r="T1211" t="str">
        <f t="shared" si="110"/>
        <v>Valid</v>
      </c>
      <c r="U1211" t="str">
        <f t="shared" si="111"/>
        <v>Valid</v>
      </c>
      <c r="V1211" t="str">
        <f t="shared" si="112"/>
        <v>Valid</v>
      </c>
      <c r="W1211" t="str">
        <f t="shared" si="113"/>
        <v>Outlier</v>
      </c>
    </row>
    <row r="1212" spans="1:23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  <c r="Q1212" t="str">
        <f>IF(COUNTIF($A$2:A1212,A1212)&gt;1,"Duplicate","Unique")</f>
        <v>Unique</v>
      </c>
      <c r="R1212" t="str">
        <f t="shared" si="108"/>
        <v>Valid</v>
      </c>
      <c r="S1212" t="str">
        <f t="shared" si="109"/>
        <v>Valid</v>
      </c>
      <c r="T1212" t="str">
        <f t="shared" si="110"/>
        <v>Valid</v>
      </c>
      <c r="U1212" t="str">
        <f t="shared" si="111"/>
        <v>Valid</v>
      </c>
      <c r="V1212" t="str">
        <f t="shared" si="112"/>
        <v>Valid</v>
      </c>
      <c r="W1212" t="str">
        <f t="shared" si="113"/>
        <v>Outlier</v>
      </c>
    </row>
    <row r="1213" spans="1:23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  <c r="Q1213" t="str">
        <f>IF(COUNTIF($A$2:A1213,A1213)&gt;1,"Duplicate","Unique")</f>
        <v>Unique</v>
      </c>
      <c r="R1213" t="str">
        <f t="shared" si="108"/>
        <v>Valid</v>
      </c>
      <c r="S1213" t="str">
        <f t="shared" si="109"/>
        <v>Valid</v>
      </c>
      <c r="T1213" t="str">
        <f t="shared" si="110"/>
        <v>Valid</v>
      </c>
      <c r="U1213" t="str">
        <f t="shared" si="111"/>
        <v>Valid</v>
      </c>
      <c r="V1213" t="str">
        <f t="shared" si="112"/>
        <v>Valid</v>
      </c>
      <c r="W1213" t="str">
        <f t="shared" si="113"/>
        <v>Outlier</v>
      </c>
    </row>
    <row r="1214" spans="1:23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  <c r="Q1214" t="str">
        <f>IF(COUNTIF($A$2:A1214,A1214)&gt;1,"Duplicate","Unique")</f>
        <v>Unique</v>
      </c>
      <c r="R1214" t="str">
        <f t="shared" si="108"/>
        <v>Valid</v>
      </c>
      <c r="S1214" t="str">
        <f t="shared" si="109"/>
        <v>Valid</v>
      </c>
      <c r="T1214" t="str">
        <f t="shared" si="110"/>
        <v>Valid</v>
      </c>
      <c r="U1214" t="str">
        <f t="shared" si="111"/>
        <v>Valid</v>
      </c>
      <c r="V1214" t="str">
        <f t="shared" si="112"/>
        <v>Valid</v>
      </c>
      <c r="W1214" t="str">
        <f t="shared" si="113"/>
        <v>Outlier</v>
      </c>
    </row>
    <row r="1215" spans="1:23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  <c r="Q1215" t="str">
        <f>IF(COUNTIF($A$2:A1215,A1215)&gt;1,"Duplicate","Unique")</f>
        <v>Unique</v>
      </c>
      <c r="R1215" t="str">
        <f t="shared" si="108"/>
        <v>Valid</v>
      </c>
      <c r="S1215" t="str">
        <f t="shared" si="109"/>
        <v>Valid</v>
      </c>
      <c r="T1215" t="str">
        <f t="shared" si="110"/>
        <v>Valid</v>
      </c>
      <c r="U1215" t="str">
        <f t="shared" si="111"/>
        <v>Valid</v>
      </c>
      <c r="V1215" t="str">
        <f t="shared" si="112"/>
        <v>Valid</v>
      </c>
      <c r="W1215" t="str">
        <f t="shared" si="113"/>
        <v>Outlier</v>
      </c>
    </row>
    <row r="1216" spans="1:23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  <c r="Q1216" t="str">
        <f>IF(COUNTIF($A$2:A1216,A1216)&gt;1,"Duplicate","Unique")</f>
        <v>Unique</v>
      </c>
      <c r="R1216" t="str">
        <f t="shared" si="108"/>
        <v>Valid</v>
      </c>
      <c r="S1216" t="str">
        <f t="shared" si="109"/>
        <v>Valid</v>
      </c>
      <c r="T1216" t="str">
        <f t="shared" si="110"/>
        <v>Valid</v>
      </c>
      <c r="U1216" t="str">
        <f t="shared" si="111"/>
        <v>Valid</v>
      </c>
      <c r="V1216" t="str">
        <f t="shared" si="112"/>
        <v>Valid</v>
      </c>
      <c r="W1216" t="str">
        <f t="shared" si="113"/>
        <v>Outlier</v>
      </c>
    </row>
    <row r="1217" spans="1:23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  <c r="Q1217" t="str">
        <f>IF(COUNTIF($A$2:A1217,A1217)&gt;1,"Duplicate","Unique")</f>
        <v>Unique</v>
      </c>
      <c r="R1217" t="str">
        <f t="shared" si="108"/>
        <v>Valid</v>
      </c>
      <c r="S1217" t="str">
        <f t="shared" si="109"/>
        <v>Valid</v>
      </c>
      <c r="T1217" t="str">
        <f t="shared" si="110"/>
        <v>Valid</v>
      </c>
      <c r="U1217" t="str">
        <f t="shared" si="111"/>
        <v>Valid</v>
      </c>
      <c r="V1217" t="str">
        <f t="shared" si="112"/>
        <v>Valid</v>
      </c>
      <c r="W1217" t="str">
        <f t="shared" si="113"/>
        <v>Outlier</v>
      </c>
    </row>
    <row r="1218" spans="1:23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  <c r="Q1218" t="str">
        <f>IF(COUNTIF($A$2:A1218,A1218)&gt;1,"Duplicate","Unique")</f>
        <v>Unique</v>
      </c>
      <c r="R1218" t="str">
        <f t="shared" si="108"/>
        <v>Valid</v>
      </c>
      <c r="S1218" t="str">
        <f t="shared" si="109"/>
        <v>Valid</v>
      </c>
      <c r="T1218" t="str">
        <f t="shared" si="110"/>
        <v>Valid</v>
      </c>
      <c r="U1218" t="str">
        <f t="shared" si="111"/>
        <v>Valid</v>
      </c>
      <c r="V1218" t="str">
        <f t="shared" si="112"/>
        <v>Valid</v>
      </c>
      <c r="W1218" t="str">
        <f t="shared" si="113"/>
        <v>Outlier</v>
      </c>
    </row>
    <row r="1219" spans="1:23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  <c r="Q1219" t="str">
        <f>IF(COUNTIF($A$2:A1219,A1219)&gt;1,"Duplicate","Unique")</f>
        <v>Unique</v>
      </c>
      <c r="R1219" t="str">
        <f t="shared" ref="R1219:R1282" si="114">IF(OR(H1219=0,H1219=1),"Valid","Invalid")</f>
        <v>Valid</v>
      </c>
      <c r="S1219" t="str">
        <f t="shared" ref="S1219:S1282" si="115">IF(OR(I1219=0,I1219=1),"Valid","Invalid")</f>
        <v>Valid</v>
      </c>
      <c r="T1219" t="str">
        <f t="shared" ref="T1219:T1282" si="116">IF(OR(J1219=0,J1219=1),"Valid","Invalid")</f>
        <v>Valid</v>
      </c>
      <c r="U1219" t="str">
        <f t="shared" ref="U1219:U1282" si="117">IF(OR(K1219=0,K1219=1),"Valid","Invalid")</f>
        <v>Valid</v>
      </c>
      <c r="V1219" t="str">
        <f t="shared" ref="V1219:V1282" si="118">IF(OR(N1219=0,N1219=1),"Valid","Invalid")</f>
        <v>Valid</v>
      </c>
      <c r="W1219" t="str">
        <f t="shared" ref="W1219:W1282" si="119">IF(OR(L1219&lt;$B$23,L1219&gt;$B$24),"Outlier","Normal")</f>
        <v>Outlier</v>
      </c>
    </row>
    <row r="1220" spans="1:23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  <c r="Q1220" t="str">
        <f>IF(COUNTIF($A$2:A1220,A1220)&gt;1,"Duplicate","Unique")</f>
        <v>Unique</v>
      </c>
      <c r="R1220" t="str">
        <f t="shared" si="114"/>
        <v>Valid</v>
      </c>
      <c r="S1220" t="str">
        <f t="shared" si="115"/>
        <v>Valid</v>
      </c>
      <c r="T1220" t="str">
        <f t="shared" si="116"/>
        <v>Valid</v>
      </c>
      <c r="U1220" t="str">
        <f t="shared" si="117"/>
        <v>Valid</v>
      </c>
      <c r="V1220" t="str">
        <f t="shared" si="118"/>
        <v>Valid</v>
      </c>
      <c r="W1220" t="str">
        <f t="shared" si="119"/>
        <v>Outlier</v>
      </c>
    </row>
    <row r="1221" spans="1:23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  <c r="Q1221" t="str">
        <f>IF(COUNTIF($A$2:A1221,A1221)&gt;1,"Duplicate","Unique")</f>
        <v>Unique</v>
      </c>
      <c r="R1221" t="str">
        <f t="shared" si="114"/>
        <v>Valid</v>
      </c>
      <c r="S1221" t="str">
        <f t="shared" si="115"/>
        <v>Valid</v>
      </c>
      <c r="T1221" t="str">
        <f t="shared" si="116"/>
        <v>Valid</v>
      </c>
      <c r="U1221" t="str">
        <f t="shared" si="117"/>
        <v>Valid</v>
      </c>
      <c r="V1221" t="str">
        <f t="shared" si="118"/>
        <v>Valid</v>
      </c>
      <c r="W1221" t="str">
        <f t="shared" si="119"/>
        <v>Outlier</v>
      </c>
    </row>
    <row r="1222" spans="1:23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  <c r="Q1222" t="str">
        <f>IF(COUNTIF($A$2:A1222,A1222)&gt;1,"Duplicate","Unique")</f>
        <v>Unique</v>
      </c>
      <c r="R1222" t="str">
        <f t="shared" si="114"/>
        <v>Valid</v>
      </c>
      <c r="S1222" t="str">
        <f t="shared" si="115"/>
        <v>Valid</v>
      </c>
      <c r="T1222" t="str">
        <f t="shared" si="116"/>
        <v>Valid</v>
      </c>
      <c r="U1222" t="str">
        <f t="shared" si="117"/>
        <v>Valid</v>
      </c>
      <c r="V1222" t="str">
        <f t="shared" si="118"/>
        <v>Valid</v>
      </c>
      <c r="W1222" t="str">
        <f t="shared" si="119"/>
        <v>Outlier</v>
      </c>
    </row>
    <row r="1223" spans="1:23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  <c r="Q1223" t="str">
        <f>IF(COUNTIF($A$2:A1223,A1223)&gt;1,"Duplicate","Unique")</f>
        <v>Unique</v>
      </c>
      <c r="R1223" t="str">
        <f t="shared" si="114"/>
        <v>Valid</v>
      </c>
      <c r="S1223" t="str">
        <f t="shared" si="115"/>
        <v>Valid</v>
      </c>
      <c r="T1223" t="str">
        <f t="shared" si="116"/>
        <v>Valid</v>
      </c>
      <c r="U1223" t="str">
        <f t="shared" si="117"/>
        <v>Valid</v>
      </c>
      <c r="V1223" t="str">
        <f t="shared" si="118"/>
        <v>Valid</v>
      </c>
      <c r="W1223" t="str">
        <f t="shared" si="119"/>
        <v>Outlier</v>
      </c>
    </row>
    <row r="1224" spans="1:23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  <c r="Q1224" t="str">
        <f>IF(COUNTIF($A$2:A1224,A1224)&gt;1,"Duplicate","Unique")</f>
        <v>Unique</v>
      </c>
      <c r="R1224" t="str">
        <f t="shared" si="114"/>
        <v>Valid</v>
      </c>
      <c r="S1224" t="str">
        <f t="shared" si="115"/>
        <v>Valid</v>
      </c>
      <c r="T1224" t="str">
        <f t="shared" si="116"/>
        <v>Valid</v>
      </c>
      <c r="U1224" t="str">
        <f t="shared" si="117"/>
        <v>Valid</v>
      </c>
      <c r="V1224" t="str">
        <f t="shared" si="118"/>
        <v>Valid</v>
      </c>
      <c r="W1224" t="str">
        <f t="shared" si="119"/>
        <v>Outlier</v>
      </c>
    </row>
    <row r="1225" spans="1:23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  <c r="Q1225" t="str">
        <f>IF(COUNTIF($A$2:A1225,A1225)&gt;1,"Duplicate","Unique")</f>
        <v>Unique</v>
      </c>
      <c r="R1225" t="str">
        <f t="shared" si="114"/>
        <v>Valid</v>
      </c>
      <c r="S1225" t="str">
        <f t="shared" si="115"/>
        <v>Valid</v>
      </c>
      <c r="T1225" t="str">
        <f t="shared" si="116"/>
        <v>Valid</v>
      </c>
      <c r="U1225" t="str">
        <f t="shared" si="117"/>
        <v>Valid</v>
      </c>
      <c r="V1225" t="str">
        <f t="shared" si="118"/>
        <v>Valid</v>
      </c>
      <c r="W1225" t="str">
        <f t="shared" si="119"/>
        <v>Outlier</v>
      </c>
    </row>
    <row r="1226" spans="1:23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  <c r="Q1226" t="str">
        <f>IF(COUNTIF($A$2:A1226,A1226)&gt;1,"Duplicate","Unique")</f>
        <v>Unique</v>
      </c>
      <c r="R1226" t="str">
        <f t="shared" si="114"/>
        <v>Valid</v>
      </c>
      <c r="S1226" t="str">
        <f t="shared" si="115"/>
        <v>Valid</v>
      </c>
      <c r="T1226" t="str">
        <f t="shared" si="116"/>
        <v>Valid</v>
      </c>
      <c r="U1226" t="str">
        <f t="shared" si="117"/>
        <v>Valid</v>
      </c>
      <c r="V1226" t="str">
        <f t="shared" si="118"/>
        <v>Valid</v>
      </c>
      <c r="W1226" t="str">
        <f t="shared" si="119"/>
        <v>Outlier</v>
      </c>
    </row>
    <row r="1227" spans="1:23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  <c r="Q1227" t="str">
        <f>IF(COUNTIF($A$2:A1227,A1227)&gt;1,"Duplicate","Unique")</f>
        <v>Unique</v>
      </c>
      <c r="R1227" t="str">
        <f t="shared" si="114"/>
        <v>Valid</v>
      </c>
      <c r="S1227" t="str">
        <f t="shared" si="115"/>
        <v>Valid</v>
      </c>
      <c r="T1227" t="str">
        <f t="shared" si="116"/>
        <v>Valid</v>
      </c>
      <c r="U1227" t="str">
        <f t="shared" si="117"/>
        <v>Valid</v>
      </c>
      <c r="V1227" t="str">
        <f t="shared" si="118"/>
        <v>Valid</v>
      </c>
      <c r="W1227" t="str">
        <f t="shared" si="119"/>
        <v>Outlier</v>
      </c>
    </row>
    <row r="1228" spans="1:23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  <c r="Q1228" t="str">
        <f>IF(COUNTIF($A$2:A1228,A1228)&gt;1,"Duplicate","Unique")</f>
        <v>Unique</v>
      </c>
      <c r="R1228" t="str">
        <f t="shared" si="114"/>
        <v>Valid</v>
      </c>
      <c r="S1228" t="str">
        <f t="shared" si="115"/>
        <v>Valid</v>
      </c>
      <c r="T1228" t="str">
        <f t="shared" si="116"/>
        <v>Valid</v>
      </c>
      <c r="U1228" t="str">
        <f t="shared" si="117"/>
        <v>Valid</v>
      </c>
      <c r="V1228" t="str">
        <f t="shared" si="118"/>
        <v>Valid</v>
      </c>
      <c r="W1228" t="str">
        <f t="shared" si="119"/>
        <v>Outlier</v>
      </c>
    </row>
    <row r="1229" spans="1:23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  <c r="Q1229" t="str">
        <f>IF(COUNTIF($A$2:A1229,A1229)&gt;1,"Duplicate","Unique")</f>
        <v>Unique</v>
      </c>
      <c r="R1229" t="str">
        <f t="shared" si="114"/>
        <v>Valid</v>
      </c>
      <c r="S1229" t="str">
        <f t="shared" si="115"/>
        <v>Valid</v>
      </c>
      <c r="T1229" t="str">
        <f t="shared" si="116"/>
        <v>Valid</v>
      </c>
      <c r="U1229" t="str">
        <f t="shared" si="117"/>
        <v>Valid</v>
      </c>
      <c r="V1229" t="str">
        <f t="shared" si="118"/>
        <v>Valid</v>
      </c>
      <c r="W1229" t="str">
        <f t="shared" si="119"/>
        <v>Outlier</v>
      </c>
    </row>
    <row r="1230" spans="1:23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  <c r="Q1230" t="str">
        <f>IF(COUNTIF($A$2:A1230,A1230)&gt;1,"Duplicate","Unique")</f>
        <v>Unique</v>
      </c>
      <c r="R1230" t="str">
        <f t="shared" si="114"/>
        <v>Valid</v>
      </c>
      <c r="S1230" t="str">
        <f t="shared" si="115"/>
        <v>Valid</v>
      </c>
      <c r="T1230" t="str">
        <f t="shared" si="116"/>
        <v>Valid</v>
      </c>
      <c r="U1230" t="str">
        <f t="shared" si="117"/>
        <v>Valid</v>
      </c>
      <c r="V1230" t="str">
        <f t="shared" si="118"/>
        <v>Valid</v>
      </c>
      <c r="W1230" t="str">
        <f t="shared" si="119"/>
        <v>Outlier</v>
      </c>
    </row>
    <row r="1231" spans="1:23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  <c r="Q1231" t="str">
        <f>IF(COUNTIF($A$2:A1231,A1231)&gt;1,"Duplicate","Unique")</f>
        <v>Unique</v>
      </c>
      <c r="R1231" t="str">
        <f t="shared" si="114"/>
        <v>Valid</v>
      </c>
      <c r="S1231" t="str">
        <f t="shared" si="115"/>
        <v>Valid</v>
      </c>
      <c r="T1231" t="str">
        <f t="shared" si="116"/>
        <v>Valid</v>
      </c>
      <c r="U1231" t="str">
        <f t="shared" si="117"/>
        <v>Valid</v>
      </c>
      <c r="V1231" t="str">
        <f t="shared" si="118"/>
        <v>Valid</v>
      </c>
      <c r="W1231" t="str">
        <f t="shared" si="119"/>
        <v>Outlier</v>
      </c>
    </row>
    <row r="1232" spans="1:23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  <c r="Q1232" t="str">
        <f>IF(COUNTIF($A$2:A1232,A1232)&gt;1,"Duplicate","Unique")</f>
        <v>Unique</v>
      </c>
      <c r="R1232" t="str">
        <f t="shared" si="114"/>
        <v>Valid</v>
      </c>
      <c r="S1232" t="str">
        <f t="shared" si="115"/>
        <v>Valid</v>
      </c>
      <c r="T1232" t="str">
        <f t="shared" si="116"/>
        <v>Valid</v>
      </c>
      <c r="U1232" t="str">
        <f t="shared" si="117"/>
        <v>Valid</v>
      </c>
      <c r="V1232" t="str">
        <f t="shared" si="118"/>
        <v>Valid</v>
      </c>
      <c r="W1232" t="str">
        <f t="shared" si="119"/>
        <v>Outlier</v>
      </c>
    </row>
    <row r="1233" spans="1:23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  <c r="Q1233" t="str">
        <f>IF(COUNTIF($A$2:A1233,A1233)&gt;1,"Duplicate","Unique")</f>
        <v>Unique</v>
      </c>
      <c r="R1233" t="str">
        <f t="shared" si="114"/>
        <v>Valid</v>
      </c>
      <c r="S1233" t="str">
        <f t="shared" si="115"/>
        <v>Valid</v>
      </c>
      <c r="T1233" t="str">
        <f t="shared" si="116"/>
        <v>Valid</v>
      </c>
      <c r="U1233" t="str">
        <f t="shared" si="117"/>
        <v>Valid</v>
      </c>
      <c r="V1233" t="str">
        <f t="shared" si="118"/>
        <v>Valid</v>
      </c>
      <c r="W1233" t="str">
        <f t="shared" si="119"/>
        <v>Outlier</v>
      </c>
    </row>
    <row r="1234" spans="1:23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  <c r="Q1234" t="str">
        <f>IF(COUNTIF($A$2:A1234,A1234)&gt;1,"Duplicate","Unique")</f>
        <v>Unique</v>
      </c>
      <c r="R1234" t="str">
        <f t="shared" si="114"/>
        <v>Valid</v>
      </c>
      <c r="S1234" t="str">
        <f t="shared" si="115"/>
        <v>Valid</v>
      </c>
      <c r="T1234" t="str">
        <f t="shared" si="116"/>
        <v>Valid</v>
      </c>
      <c r="U1234" t="str">
        <f t="shared" si="117"/>
        <v>Valid</v>
      </c>
      <c r="V1234" t="str">
        <f t="shared" si="118"/>
        <v>Valid</v>
      </c>
      <c r="W1234" t="str">
        <f t="shared" si="119"/>
        <v>Outlier</v>
      </c>
    </row>
    <row r="1235" spans="1:23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  <c r="Q1235" t="str">
        <f>IF(COUNTIF($A$2:A1235,A1235)&gt;1,"Duplicate","Unique")</f>
        <v>Unique</v>
      </c>
      <c r="R1235" t="str">
        <f t="shared" si="114"/>
        <v>Valid</v>
      </c>
      <c r="S1235" t="str">
        <f t="shared" si="115"/>
        <v>Valid</v>
      </c>
      <c r="T1235" t="str">
        <f t="shared" si="116"/>
        <v>Valid</v>
      </c>
      <c r="U1235" t="str">
        <f t="shared" si="117"/>
        <v>Valid</v>
      </c>
      <c r="V1235" t="str">
        <f t="shared" si="118"/>
        <v>Valid</v>
      </c>
      <c r="W1235" t="str">
        <f t="shared" si="119"/>
        <v>Outlier</v>
      </c>
    </row>
    <row r="1236" spans="1:23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  <c r="Q1236" t="str">
        <f>IF(COUNTIF($A$2:A1236,A1236)&gt;1,"Duplicate","Unique")</f>
        <v>Unique</v>
      </c>
      <c r="R1236" t="str">
        <f t="shared" si="114"/>
        <v>Valid</v>
      </c>
      <c r="S1236" t="str">
        <f t="shared" si="115"/>
        <v>Valid</v>
      </c>
      <c r="T1236" t="str">
        <f t="shared" si="116"/>
        <v>Valid</v>
      </c>
      <c r="U1236" t="str">
        <f t="shared" si="117"/>
        <v>Valid</v>
      </c>
      <c r="V1236" t="str">
        <f t="shared" si="118"/>
        <v>Valid</v>
      </c>
      <c r="W1236" t="str">
        <f t="shared" si="119"/>
        <v>Outlier</v>
      </c>
    </row>
    <row r="1237" spans="1:23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  <c r="Q1237" t="str">
        <f>IF(COUNTIF($A$2:A1237,A1237)&gt;1,"Duplicate","Unique")</f>
        <v>Unique</v>
      </c>
      <c r="R1237" t="str">
        <f t="shared" si="114"/>
        <v>Valid</v>
      </c>
      <c r="S1237" t="str">
        <f t="shared" si="115"/>
        <v>Valid</v>
      </c>
      <c r="T1237" t="str">
        <f t="shared" si="116"/>
        <v>Valid</v>
      </c>
      <c r="U1237" t="str">
        <f t="shared" si="117"/>
        <v>Valid</v>
      </c>
      <c r="V1237" t="str">
        <f t="shared" si="118"/>
        <v>Valid</v>
      </c>
      <c r="W1237" t="str">
        <f t="shared" si="119"/>
        <v>Outlier</v>
      </c>
    </row>
    <row r="1238" spans="1:23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  <c r="Q1238" t="str">
        <f>IF(COUNTIF($A$2:A1238,A1238)&gt;1,"Duplicate","Unique")</f>
        <v>Unique</v>
      </c>
      <c r="R1238" t="str">
        <f t="shared" si="114"/>
        <v>Valid</v>
      </c>
      <c r="S1238" t="str">
        <f t="shared" si="115"/>
        <v>Valid</v>
      </c>
      <c r="T1238" t="str">
        <f t="shared" si="116"/>
        <v>Valid</v>
      </c>
      <c r="U1238" t="str">
        <f t="shared" si="117"/>
        <v>Valid</v>
      </c>
      <c r="V1238" t="str">
        <f t="shared" si="118"/>
        <v>Valid</v>
      </c>
      <c r="W1238" t="str">
        <f t="shared" si="119"/>
        <v>Outlier</v>
      </c>
    </row>
    <row r="1239" spans="1:23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  <c r="Q1239" t="str">
        <f>IF(COUNTIF($A$2:A1239,A1239)&gt;1,"Duplicate","Unique")</f>
        <v>Unique</v>
      </c>
      <c r="R1239" t="str">
        <f t="shared" si="114"/>
        <v>Valid</v>
      </c>
      <c r="S1239" t="str">
        <f t="shared" si="115"/>
        <v>Valid</v>
      </c>
      <c r="T1239" t="str">
        <f t="shared" si="116"/>
        <v>Valid</v>
      </c>
      <c r="U1239" t="str">
        <f t="shared" si="117"/>
        <v>Valid</v>
      </c>
      <c r="V1239" t="str">
        <f t="shared" si="118"/>
        <v>Valid</v>
      </c>
      <c r="W1239" t="str">
        <f t="shared" si="119"/>
        <v>Outlier</v>
      </c>
    </row>
    <row r="1240" spans="1:23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  <c r="Q1240" t="str">
        <f>IF(COUNTIF($A$2:A1240,A1240)&gt;1,"Duplicate","Unique")</f>
        <v>Unique</v>
      </c>
      <c r="R1240" t="str">
        <f t="shared" si="114"/>
        <v>Valid</v>
      </c>
      <c r="S1240" t="str">
        <f t="shared" si="115"/>
        <v>Valid</v>
      </c>
      <c r="T1240" t="str">
        <f t="shared" si="116"/>
        <v>Valid</v>
      </c>
      <c r="U1240" t="str">
        <f t="shared" si="117"/>
        <v>Valid</v>
      </c>
      <c r="V1240" t="str">
        <f t="shared" si="118"/>
        <v>Valid</v>
      </c>
      <c r="W1240" t="str">
        <f t="shared" si="119"/>
        <v>Outlier</v>
      </c>
    </row>
    <row r="1241" spans="1:23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  <c r="Q1241" t="str">
        <f>IF(COUNTIF($A$2:A1241,A1241)&gt;1,"Duplicate","Unique")</f>
        <v>Unique</v>
      </c>
      <c r="R1241" t="str">
        <f t="shared" si="114"/>
        <v>Valid</v>
      </c>
      <c r="S1241" t="str">
        <f t="shared" si="115"/>
        <v>Valid</v>
      </c>
      <c r="T1241" t="str">
        <f t="shared" si="116"/>
        <v>Valid</v>
      </c>
      <c r="U1241" t="str">
        <f t="shared" si="117"/>
        <v>Valid</v>
      </c>
      <c r="V1241" t="str">
        <f t="shared" si="118"/>
        <v>Valid</v>
      </c>
      <c r="W1241" t="str">
        <f t="shared" si="119"/>
        <v>Outlier</v>
      </c>
    </row>
    <row r="1242" spans="1:23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  <c r="Q1242" t="str">
        <f>IF(COUNTIF($A$2:A1242,A1242)&gt;1,"Duplicate","Unique")</f>
        <v>Unique</v>
      </c>
      <c r="R1242" t="str">
        <f t="shared" si="114"/>
        <v>Valid</v>
      </c>
      <c r="S1242" t="str">
        <f t="shared" si="115"/>
        <v>Valid</v>
      </c>
      <c r="T1242" t="str">
        <f t="shared" si="116"/>
        <v>Valid</v>
      </c>
      <c r="U1242" t="str">
        <f t="shared" si="117"/>
        <v>Valid</v>
      </c>
      <c r="V1242" t="str">
        <f t="shared" si="118"/>
        <v>Valid</v>
      </c>
      <c r="W1242" t="str">
        <f t="shared" si="119"/>
        <v>Outlier</v>
      </c>
    </row>
    <row r="1243" spans="1:23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  <c r="Q1243" t="str">
        <f>IF(COUNTIF($A$2:A1243,A1243)&gt;1,"Duplicate","Unique")</f>
        <v>Unique</v>
      </c>
      <c r="R1243" t="str">
        <f t="shared" si="114"/>
        <v>Valid</v>
      </c>
      <c r="S1243" t="str">
        <f t="shared" si="115"/>
        <v>Valid</v>
      </c>
      <c r="T1243" t="str">
        <f t="shared" si="116"/>
        <v>Valid</v>
      </c>
      <c r="U1243" t="str">
        <f t="shared" si="117"/>
        <v>Valid</v>
      </c>
      <c r="V1243" t="str">
        <f t="shared" si="118"/>
        <v>Valid</v>
      </c>
      <c r="W1243" t="str">
        <f t="shared" si="119"/>
        <v>Outlier</v>
      </c>
    </row>
    <row r="1244" spans="1:23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  <c r="Q1244" t="str">
        <f>IF(COUNTIF($A$2:A1244,A1244)&gt;1,"Duplicate","Unique")</f>
        <v>Unique</v>
      </c>
      <c r="R1244" t="str">
        <f t="shared" si="114"/>
        <v>Valid</v>
      </c>
      <c r="S1244" t="str">
        <f t="shared" si="115"/>
        <v>Valid</v>
      </c>
      <c r="T1244" t="str">
        <f t="shared" si="116"/>
        <v>Valid</v>
      </c>
      <c r="U1244" t="str">
        <f t="shared" si="117"/>
        <v>Valid</v>
      </c>
      <c r="V1244" t="str">
        <f t="shared" si="118"/>
        <v>Valid</v>
      </c>
      <c r="W1244" t="str">
        <f t="shared" si="119"/>
        <v>Outlier</v>
      </c>
    </row>
    <row r="1245" spans="1:23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  <c r="Q1245" t="str">
        <f>IF(COUNTIF($A$2:A1245,A1245)&gt;1,"Duplicate","Unique")</f>
        <v>Unique</v>
      </c>
      <c r="R1245" t="str">
        <f t="shared" si="114"/>
        <v>Valid</v>
      </c>
      <c r="S1245" t="str">
        <f t="shared" si="115"/>
        <v>Valid</v>
      </c>
      <c r="T1245" t="str">
        <f t="shared" si="116"/>
        <v>Valid</v>
      </c>
      <c r="U1245" t="str">
        <f t="shared" si="117"/>
        <v>Valid</v>
      </c>
      <c r="V1245" t="str">
        <f t="shared" si="118"/>
        <v>Valid</v>
      </c>
      <c r="W1245" t="str">
        <f t="shared" si="119"/>
        <v>Outlier</v>
      </c>
    </row>
    <row r="1246" spans="1:23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  <c r="Q1246" t="str">
        <f>IF(COUNTIF($A$2:A1246,A1246)&gt;1,"Duplicate","Unique")</f>
        <v>Unique</v>
      </c>
      <c r="R1246" t="str">
        <f t="shared" si="114"/>
        <v>Valid</v>
      </c>
      <c r="S1246" t="str">
        <f t="shared" si="115"/>
        <v>Valid</v>
      </c>
      <c r="T1246" t="str">
        <f t="shared" si="116"/>
        <v>Valid</v>
      </c>
      <c r="U1246" t="str">
        <f t="shared" si="117"/>
        <v>Valid</v>
      </c>
      <c r="V1246" t="str">
        <f t="shared" si="118"/>
        <v>Valid</v>
      </c>
      <c r="W1246" t="str">
        <f t="shared" si="119"/>
        <v>Outlier</v>
      </c>
    </row>
    <row r="1247" spans="1:23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  <c r="Q1247" t="str">
        <f>IF(COUNTIF($A$2:A1247,A1247)&gt;1,"Duplicate","Unique")</f>
        <v>Unique</v>
      </c>
      <c r="R1247" t="str">
        <f t="shared" si="114"/>
        <v>Valid</v>
      </c>
      <c r="S1247" t="str">
        <f t="shared" si="115"/>
        <v>Valid</v>
      </c>
      <c r="T1247" t="str">
        <f t="shared" si="116"/>
        <v>Valid</v>
      </c>
      <c r="U1247" t="str">
        <f t="shared" si="117"/>
        <v>Valid</v>
      </c>
      <c r="V1247" t="str">
        <f t="shared" si="118"/>
        <v>Valid</v>
      </c>
      <c r="W1247" t="str">
        <f t="shared" si="119"/>
        <v>Outlier</v>
      </c>
    </row>
    <row r="1248" spans="1:23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  <c r="Q1248" t="str">
        <f>IF(COUNTIF($A$2:A1248,A1248)&gt;1,"Duplicate","Unique")</f>
        <v>Unique</v>
      </c>
      <c r="R1248" t="str">
        <f t="shared" si="114"/>
        <v>Valid</v>
      </c>
      <c r="S1248" t="str">
        <f t="shared" si="115"/>
        <v>Valid</v>
      </c>
      <c r="T1248" t="str">
        <f t="shared" si="116"/>
        <v>Valid</v>
      </c>
      <c r="U1248" t="str">
        <f t="shared" si="117"/>
        <v>Valid</v>
      </c>
      <c r="V1248" t="str">
        <f t="shared" si="118"/>
        <v>Valid</v>
      </c>
      <c r="W1248" t="str">
        <f t="shared" si="119"/>
        <v>Outlier</v>
      </c>
    </row>
    <row r="1249" spans="1:23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  <c r="Q1249" t="str">
        <f>IF(COUNTIF($A$2:A1249,A1249)&gt;1,"Duplicate","Unique")</f>
        <v>Unique</v>
      </c>
      <c r="R1249" t="str">
        <f t="shared" si="114"/>
        <v>Valid</v>
      </c>
      <c r="S1249" t="str">
        <f t="shared" si="115"/>
        <v>Valid</v>
      </c>
      <c r="T1249" t="str">
        <f t="shared" si="116"/>
        <v>Valid</v>
      </c>
      <c r="U1249" t="str">
        <f t="shared" si="117"/>
        <v>Valid</v>
      </c>
      <c r="V1249" t="str">
        <f t="shared" si="118"/>
        <v>Valid</v>
      </c>
      <c r="W1249" t="str">
        <f t="shared" si="119"/>
        <v>Outlier</v>
      </c>
    </row>
    <row r="1250" spans="1:23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  <c r="Q1250" t="str">
        <f>IF(COUNTIF($A$2:A1250,A1250)&gt;1,"Duplicate","Unique")</f>
        <v>Unique</v>
      </c>
      <c r="R1250" t="str">
        <f t="shared" si="114"/>
        <v>Valid</v>
      </c>
      <c r="S1250" t="str">
        <f t="shared" si="115"/>
        <v>Valid</v>
      </c>
      <c r="T1250" t="str">
        <f t="shared" si="116"/>
        <v>Valid</v>
      </c>
      <c r="U1250" t="str">
        <f t="shared" si="117"/>
        <v>Valid</v>
      </c>
      <c r="V1250" t="str">
        <f t="shared" si="118"/>
        <v>Valid</v>
      </c>
      <c r="W1250" t="str">
        <f t="shared" si="119"/>
        <v>Outlier</v>
      </c>
    </row>
    <row r="1251" spans="1:23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  <c r="Q1251" t="str">
        <f>IF(COUNTIF($A$2:A1251,A1251)&gt;1,"Duplicate","Unique")</f>
        <v>Unique</v>
      </c>
      <c r="R1251" t="str">
        <f t="shared" si="114"/>
        <v>Valid</v>
      </c>
      <c r="S1251" t="str">
        <f t="shared" si="115"/>
        <v>Valid</v>
      </c>
      <c r="T1251" t="str">
        <f t="shared" si="116"/>
        <v>Valid</v>
      </c>
      <c r="U1251" t="str">
        <f t="shared" si="117"/>
        <v>Valid</v>
      </c>
      <c r="V1251" t="str">
        <f t="shared" si="118"/>
        <v>Valid</v>
      </c>
      <c r="W1251" t="str">
        <f t="shared" si="119"/>
        <v>Outlier</v>
      </c>
    </row>
    <row r="1252" spans="1:23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  <c r="Q1252" t="str">
        <f>IF(COUNTIF($A$2:A1252,A1252)&gt;1,"Duplicate","Unique")</f>
        <v>Unique</v>
      </c>
      <c r="R1252" t="str">
        <f t="shared" si="114"/>
        <v>Valid</v>
      </c>
      <c r="S1252" t="str">
        <f t="shared" si="115"/>
        <v>Valid</v>
      </c>
      <c r="T1252" t="str">
        <f t="shared" si="116"/>
        <v>Valid</v>
      </c>
      <c r="U1252" t="str">
        <f t="shared" si="117"/>
        <v>Valid</v>
      </c>
      <c r="V1252" t="str">
        <f t="shared" si="118"/>
        <v>Valid</v>
      </c>
      <c r="W1252" t="str">
        <f t="shared" si="119"/>
        <v>Outlier</v>
      </c>
    </row>
    <row r="1253" spans="1:23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  <c r="Q1253" t="str">
        <f>IF(COUNTIF($A$2:A1253,A1253)&gt;1,"Duplicate","Unique")</f>
        <v>Unique</v>
      </c>
      <c r="R1253" t="str">
        <f t="shared" si="114"/>
        <v>Valid</v>
      </c>
      <c r="S1253" t="str">
        <f t="shared" si="115"/>
        <v>Valid</v>
      </c>
      <c r="T1253" t="str">
        <f t="shared" si="116"/>
        <v>Valid</v>
      </c>
      <c r="U1253" t="str">
        <f t="shared" si="117"/>
        <v>Valid</v>
      </c>
      <c r="V1253" t="str">
        <f t="shared" si="118"/>
        <v>Valid</v>
      </c>
      <c r="W1253" t="str">
        <f t="shared" si="119"/>
        <v>Outlier</v>
      </c>
    </row>
    <row r="1254" spans="1:23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  <c r="Q1254" t="str">
        <f>IF(COUNTIF($A$2:A1254,A1254)&gt;1,"Duplicate","Unique")</f>
        <v>Unique</v>
      </c>
      <c r="R1254" t="str">
        <f t="shared" si="114"/>
        <v>Valid</v>
      </c>
      <c r="S1254" t="str">
        <f t="shared" si="115"/>
        <v>Valid</v>
      </c>
      <c r="T1254" t="str">
        <f t="shared" si="116"/>
        <v>Valid</v>
      </c>
      <c r="U1254" t="str">
        <f t="shared" si="117"/>
        <v>Valid</v>
      </c>
      <c r="V1254" t="str">
        <f t="shared" si="118"/>
        <v>Valid</v>
      </c>
      <c r="W1254" t="str">
        <f t="shared" si="119"/>
        <v>Outlier</v>
      </c>
    </row>
    <row r="1255" spans="1:23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  <c r="Q1255" t="str">
        <f>IF(COUNTIF($A$2:A1255,A1255)&gt;1,"Duplicate","Unique")</f>
        <v>Unique</v>
      </c>
      <c r="R1255" t="str">
        <f t="shared" si="114"/>
        <v>Valid</v>
      </c>
      <c r="S1255" t="str">
        <f t="shared" si="115"/>
        <v>Valid</v>
      </c>
      <c r="T1255" t="str">
        <f t="shared" si="116"/>
        <v>Valid</v>
      </c>
      <c r="U1255" t="str">
        <f t="shared" si="117"/>
        <v>Valid</v>
      </c>
      <c r="V1255" t="str">
        <f t="shared" si="118"/>
        <v>Valid</v>
      </c>
      <c r="W1255" t="str">
        <f t="shared" si="119"/>
        <v>Outlier</v>
      </c>
    </row>
    <row r="1256" spans="1:23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  <c r="Q1256" t="str">
        <f>IF(COUNTIF($A$2:A1256,A1256)&gt;1,"Duplicate","Unique")</f>
        <v>Unique</v>
      </c>
      <c r="R1256" t="str">
        <f t="shared" si="114"/>
        <v>Valid</v>
      </c>
      <c r="S1256" t="str">
        <f t="shared" si="115"/>
        <v>Valid</v>
      </c>
      <c r="T1256" t="str">
        <f t="shared" si="116"/>
        <v>Valid</v>
      </c>
      <c r="U1256" t="str">
        <f t="shared" si="117"/>
        <v>Valid</v>
      </c>
      <c r="V1256" t="str">
        <f t="shared" si="118"/>
        <v>Valid</v>
      </c>
      <c r="W1256" t="str">
        <f t="shared" si="119"/>
        <v>Outlier</v>
      </c>
    </row>
    <row r="1257" spans="1:23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  <c r="Q1257" t="str">
        <f>IF(COUNTIF($A$2:A1257,A1257)&gt;1,"Duplicate","Unique")</f>
        <v>Unique</v>
      </c>
      <c r="R1257" t="str">
        <f t="shared" si="114"/>
        <v>Valid</v>
      </c>
      <c r="S1257" t="str">
        <f t="shared" si="115"/>
        <v>Valid</v>
      </c>
      <c r="T1257" t="str">
        <f t="shared" si="116"/>
        <v>Valid</v>
      </c>
      <c r="U1257" t="str">
        <f t="shared" si="117"/>
        <v>Valid</v>
      </c>
      <c r="V1257" t="str">
        <f t="shared" si="118"/>
        <v>Valid</v>
      </c>
      <c r="W1257" t="str">
        <f t="shared" si="119"/>
        <v>Outlier</v>
      </c>
    </row>
    <row r="1258" spans="1:23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  <c r="Q1258" t="str">
        <f>IF(COUNTIF($A$2:A1258,A1258)&gt;1,"Duplicate","Unique")</f>
        <v>Unique</v>
      </c>
      <c r="R1258" t="str">
        <f t="shared" si="114"/>
        <v>Valid</v>
      </c>
      <c r="S1258" t="str">
        <f t="shared" si="115"/>
        <v>Valid</v>
      </c>
      <c r="T1258" t="str">
        <f t="shared" si="116"/>
        <v>Valid</v>
      </c>
      <c r="U1258" t="str">
        <f t="shared" si="117"/>
        <v>Valid</v>
      </c>
      <c r="V1258" t="str">
        <f t="shared" si="118"/>
        <v>Valid</v>
      </c>
      <c r="W1258" t="str">
        <f t="shared" si="119"/>
        <v>Outlier</v>
      </c>
    </row>
    <row r="1259" spans="1:23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  <c r="Q1259" t="str">
        <f>IF(COUNTIF($A$2:A1259,A1259)&gt;1,"Duplicate","Unique")</f>
        <v>Unique</v>
      </c>
      <c r="R1259" t="str">
        <f t="shared" si="114"/>
        <v>Valid</v>
      </c>
      <c r="S1259" t="str">
        <f t="shared" si="115"/>
        <v>Valid</v>
      </c>
      <c r="T1259" t="str">
        <f t="shared" si="116"/>
        <v>Valid</v>
      </c>
      <c r="U1259" t="str">
        <f t="shared" si="117"/>
        <v>Valid</v>
      </c>
      <c r="V1259" t="str">
        <f t="shared" si="118"/>
        <v>Valid</v>
      </c>
      <c r="W1259" t="str">
        <f t="shared" si="119"/>
        <v>Outlier</v>
      </c>
    </row>
    <row r="1260" spans="1:23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  <c r="Q1260" t="str">
        <f>IF(COUNTIF($A$2:A1260,A1260)&gt;1,"Duplicate","Unique")</f>
        <v>Unique</v>
      </c>
      <c r="R1260" t="str">
        <f t="shared" si="114"/>
        <v>Valid</v>
      </c>
      <c r="S1260" t="str">
        <f t="shared" si="115"/>
        <v>Valid</v>
      </c>
      <c r="T1260" t="str">
        <f t="shared" si="116"/>
        <v>Valid</v>
      </c>
      <c r="U1260" t="str">
        <f t="shared" si="117"/>
        <v>Valid</v>
      </c>
      <c r="V1260" t="str">
        <f t="shared" si="118"/>
        <v>Valid</v>
      </c>
      <c r="W1260" t="str">
        <f t="shared" si="119"/>
        <v>Outlier</v>
      </c>
    </row>
    <row r="1261" spans="1:23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  <c r="Q1261" t="str">
        <f>IF(COUNTIF($A$2:A1261,A1261)&gt;1,"Duplicate","Unique")</f>
        <v>Unique</v>
      </c>
      <c r="R1261" t="str">
        <f t="shared" si="114"/>
        <v>Valid</v>
      </c>
      <c r="S1261" t="str">
        <f t="shared" si="115"/>
        <v>Valid</v>
      </c>
      <c r="T1261" t="str">
        <f t="shared" si="116"/>
        <v>Valid</v>
      </c>
      <c r="U1261" t="str">
        <f t="shared" si="117"/>
        <v>Valid</v>
      </c>
      <c r="V1261" t="str">
        <f t="shared" si="118"/>
        <v>Valid</v>
      </c>
      <c r="W1261" t="str">
        <f t="shared" si="119"/>
        <v>Outlier</v>
      </c>
    </row>
    <row r="1262" spans="1:23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  <c r="Q1262" t="str">
        <f>IF(COUNTIF($A$2:A1262,A1262)&gt;1,"Duplicate","Unique")</f>
        <v>Unique</v>
      </c>
      <c r="R1262" t="str">
        <f t="shared" si="114"/>
        <v>Valid</v>
      </c>
      <c r="S1262" t="str">
        <f t="shared" si="115"/>
        <v>Valid</v>
      </c>
      <c r="T1262" t="str">
        <f t="shared" si="116"/>
        <v>Valid</v>
      </c>
      <c r="U1262" t="str">
        <f t="shared" si="117"/>
        <v>Valid</v>
      </c>
      <c r="V1262" t="str">
        <f t="shared" si="118"/>
        <v>Valid</v>
      </c>
      <c r="W1262" t="str">
        <f t="shared" si="119"/>
        <v>Outlier</v>
      </c>
    </row>
    <row r="1263" spans="1:23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  <c r="Q1263" t="str">
        <f>IF(COUNTIF($A$2:A1263,A1263)&gt;1,"Duplicate","Unique")</f>
        <v>Unique</v>
      </c>
      <c r="R1263" t="str">
        <f t="shared" si="114"/>
        <v>Valid</v>
      </c>
      <c r="S1263" t="str">
        <f t="shared" si="115"/>
        <v>Valid</v>
      </c>
      <c r="T1263" t="str">
        <f t="shared" si="116"/>
        <v>Valid</v>
      </c>
      <c r="U1263" t="str">
        <f t="shared" si="117"/>
        <v>Valid</v>
      </c>
      <c r="V1263" t="str">
        <f t="shared" si="118"/>
        <v>Valid</v>
      </c>
      <c r="W1263" t="str">
        <f t="shared" si="119"/>
        <v>Outlier</v>
      </c>
    </row>
    <row r="1264" spans="1:23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  <c r="Q1264" t="str">
        <f>IF(COUNTIF($A$2:A1264,A1264)&gt;1,"Duplicate","Unique")</f>
        <v>Unique</v>
      </c>
      <c r="R1264" t="str">
        <f t="shared" si="114"/>
        <v>Valid</v>
      </c>
      <c r="S1264" t="str">
        <f t="shared" si="115"/>
        <v>Valid</v>
      </c>
      <c r="T1264" t="str">
        <f t="shared" si="116"/>
        <v>Valid</v>
      </c>
      <c r="U1264" t="str">
        <f t="shared" si="117"/>
        <v>Valid</v>
      </c>
      <c r="V1264" t="str">
        <f t="shared" si="118"/>
        <v>Valid</v>
      </c>
      <c r="W1264" t="str">
        <f t="shared" si="119"/>
        <v>Outlier</v>
      </c>
    </row>
    <row r="1265" spans="1:23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  <c r="Q1265" t="str">
        <f>IF(COUNTIF($A$2:A1265,A1265)&gt;1,"Duplicate","Unique")</f>
        <v>Unique</v>
      </c>
      <c r="R1265" t="str">
        <f t="shared" si="114"/>
        <v>Valid</v>
      </c>
      <c r="S1265" t="str">
        <f t="shared" si="115"/>
        <v>Valid</v>
      </c>
      <c r="T1265" t="str">
        <f t="shared" si="116"/>
        <v>Valid</v>
      </c>
      <c r="U1265" t="str">
        <f t="shared" si="117"/>
        <v>Valid</v>
      </c>
      <c r="V1265" t="str">
        <f t="shared" si="118"/>
        <v>Valid</v>
      </c>
      <c r="W1265" t="str">
        <f t="shared" si="119"/>
        <v>Outlier</v>
      </c>
    </row>
    <row r="1266" spans="1:23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  <c r="Q1266" t="str">
        <f>IF(COUNTIF($A$2:A1266,A1266)&gt;1,"Duplicate","Unique")</f>
        <v>Unique</v>
      </c>
      <c r="R1266" t="str">
        <f t="shared" si="114"/>
        <v>Valid</v>
      </c>
      <c r="S1266" t="str">
        <f t="shared" si="115"/>
        <v>Valid</v>
      </c>
      <c r="T1266" t="str">
        <f t="shared" si="116"/>
        <v>Valid</v>
      </c>
      <c r="U1266" t="str">
        <f t="shared" si="117"/>
        <v>Valid</v>
      </c>
      <c r="V1266" t="str">
        <f t="shared" si="118"/>
        <v>Valid</v>
      </c>
      <c r="W1266" t="str">
        <f t="shared" si="119"/>
        <v>Outlier</v>
      </c>
    </row>
    <row r="1267" spans="1:23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  <c r="Q1267" t="str">
        <f>IF(COUNTIF($A$2:A1267,A1267)&gt;1,"Duplicate","Unique")</f>
        <v>Unique</v>
      </c>
      <c r="R1267" t="str">
        <f t="shared" si="114"/>
        <v>Valid</v>
      </c>
      <c r="S1267" t="str">
        <f t="shared" si="115"/>
        <v>Valid</v>
      </c>
      <c r="T1267" t="str">
        <f t="shared" si="116"/>
        <v>Valid</v>
      </c>
      <c r="U1267" t="str">
        <f t="shared" si="117"/>
        <v>Valid</v>
      </c>
      <c r="V1267" t="str">
        <f t="shared" si="118"/>
        <v>Valid</v>
      </c>
      <c r="W1267" t="str">
        <f t="shared" si="119"/>
        <v>Outlier</v>
      </c>
    </row>
    <row r="1268" spans="1:23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  <c r="Q1268" t="str">
        <f>IF(COUNTIF($A$2:A1268,A1268)&gt;1,"Duplicate","Unique")</f>
        <v>Unique</v>
      </c>
      <c r="R1268" t="str">
        <f t="shared" si="114"/>
        <v>Valid</v>
      </c>
      <c r="S1268" t="str">
        <f t="shared" si="115"/>
        <v>Valid</v>
      </c>
      <c r="T1268" t="str">
        <f t="shared" si="116"/>
        <v>Valid</v>
      </c>
      <c r="U1268" t="str">
        <f t="shared" si="117"/>
        <v>Valid</v>
      </c>
      <c r="V1268" t="str">
        <f t="shared" si="118"/>
        <v>Valid</v>
      </c>
      <c r="W1268" t="str">
        <f t="shared" si="119"/>
        <v>Outlier</v>
      </c>
    </row>
    <row r="1269" spans="1:23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  <c r="Q1269" t="str">
        <f>IF(COUNTIF($A$2:A1269,A1269)&gt;1,"Duplicate","Unique")</f>
        <v>Unique</v>
      </c>
      <c r="R1269" t="str">
        <f t="shared" si="114"/>
        <v>Valid</v>
      </c>
      <c r="S1269" t="str">
        <f t="shared" si="115"/>
        <v>Valid</v>
      </c>
      <c r="T1269" t="str">
        <f t="shared" si="116"/>
        <v>Valid</v>
      </c>
      <c r="U1269" t="str">
        <f t="shared" si="117"/>
        <v>Valid</v>
      </c>
      <c r="V1269" t="str">
        <f t="shared" si="118"/>
        <v>Valid</v>
      </c>
      <c r="W1269" t="str">
        <f t="shared" si="119"/>
        <v>Outlier</v>
      </c>
    </row>
    <row r="1270" spans="1:23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  <c r="Q1270" t="str">
        <f>IF(COUNTIF($A$2:A1270,A1270)&gt;1,"Duplicate","Unique")</f>
        <v>Unique</v>
      </c>
      <c r="R1270" t="str">
        <f t="shared" si="114"/>
        <v>Valid</v>
      </c>
      <c r="S1270" t="str">
        <f t="shared" si="115"/>
        <v>Valid</v>
      </c>
      <c r="T1270" t="str">
        <f t="shared" si="116"/>
        <v>Valid</v>
      </c>
      <c r="U1270" t="str">
        <f t="shared" si="117"/>
        <v>Valid</v>
      </c>
      <c r="V1270" t="str">
        <f t="shared" si="118"/>
        <v>Valid</v>
      </c>
      <c r="W1270" t="str">
        <f t="shared" si="119"/>
        <v>Outlier</v>
      </c>
    </row>
    <row r="1271" spans="1:23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  <c r="Q1271" t="str">
        <f>IF(COUNTIF($A$2:A1271,A1271)&gt;1,"Duplicate","Unique")</f>
        <v>Unique</v>
      </c>
      <c r="R1271" t="str">
        <f t="shared" si="114"/>
        <v>Valid</v>
      </c>
      <c r="S1271" t="str">
        <f t="shared" si="115"/>
        <v>Valid</v>
      </c>
      <c r="T1271" t="str">
        <f t="shared" si="116"/>
        <v>Valid</v>
      </c>
      <c r="U1271" t="str">
        <f t="shared" si="117"/>
        <v>Valid</v>
      </c>
      <c r="V1271" t="str">
        <f t="shared" si="118"/>
        <v>Valid</v>
      </c>
      <c r="W1271" t="str">
        <f t="shared" si="119"/>
        <v>Outlier</v>
      </c>
    </row>
    <row r="1272" spans="1:23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  <c r="Q1272" t="str">
        <f>IF(COUNTIF($A$2:A1272,A1272)&gt;1,"Duplicate","Unique")</f>
        <v>Unique</v>
      </c>
      <c r="R1272" t="str">
        <f t="shared" si="114"/>
        <v>Valid</v>
      </c>
      <c r="S1272" t="str">
        <f t="shared" si="115"/>
        <v>Valid</v>
      </c>
      <c r="T1272" t="str">
        <f t="shared" si="116"/>
        <v>Valid</v>
      </c>
      <c r="U1272" t="str">
        <f t="shared" si="117"/>
        <v>Valid</v>
      </c>
      <c r="V1272" t="str">
        <f t="shared" si="118"/>
        <v>Valid</v>
      </c>
      <c r="W1272" t="str">
        <f t="shared" si="119"/>
        <v>Outlier</v>
      </c>
    </row>
    <row r="1273" spans="1:23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  <c r="Q1273" t="str">
        <f>IF(COUNTIF($A$2:A1273,A1273)&gt;1,"Duplicate","Unique")</f>
        <v>Unique</v>
      </c>
      <c r="R1273" t="str">
        <f t="shared" si="114"/>
        <v>Valid</v>
      </c>
      <c r="S1273" t="str">
        <f t="shared" si="115"/>
        <v>Valid</v>
      </c>
      <c r="T1273" t="str">
        <f t="shared" si="116"/>
        <v>Valid</v>
      </c>
      <c r="U1273" t="str">
        <f t="shared" si="117"/>
        <v>Valid</v>
      </c>
      <c r="V1273" t="str">
        <f t="shared" si="118"/>
        <v>Valid</v>
      </c>
      <c r="W1273" t="str">
        <f t="shared" si="119"/>
        <v>Outlier</v>
      </c>
    </row>
    <row r="1274" spans="1:23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  <c r="Q1274" t="str">
        <f>IF(COUNTIF($A$2:A1274,A1274)&gt;1,"Duplicate","Unique")</f>
        <v>Unique</v>
      </c>
      <c r="R1274" t="str">
        <f t="shared" si="114"/>
        <v>Valid</v>
      </c>
      <c r="S1274" t="str">
        <f t="shared" si="115"/>
        <v>Valid</v>
      </c>
      <c r="T1274" t="str">
        <f t="shared" si="116"/>
        <v>Valid</v>
      </c>
      <c r="U1274" t="str">
        <f t="shared" si="117"/>
        <v>Valid</v>
      </c>
      <c r="V1274" t="str">
        <f t="shared" si="118"/>
        <v>Valid</v>
      </c>
      <c r="W1274" t="str">
        <f t="shared" si="119"/>
        <v>Outlier</v>
      </c>
    </row>
    <row r="1275" spans="1:23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  <c r="Q1275" t="str">
        <f>IF(COUNTIF($A$2:A1275,A1275)&gt;1,"Duplicate","Unique")</f>
        <v>Unique</v>
      </c>
      <c r="R1275" t="str">
        <f t="shared" si="114"/>
        <v>Valid</v>
      </c>
      <c r="S1275" t="str">
        <f t="shared" si="115"/>
        <v>Valid</v>
      </c>
      <c r="T1275" t="str">
        <f t="shared" si="116"/>
        <v>Valid</v>
      </c>
      <c r="U1275" t="str">
        <f t="shared" si="117"/>
        <v>Valid</v>
      </c>
      <c r="V1275" t="str">
        <f t="shared" si="118"/>
        <v>Valid</v>
      </c>
      <c r="W1275" t="str">
        <f t="shared" si="119"/>
        <v>Outlier</v>
      </c>
    </row>
    <row r="1276" spans="1:23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  <c r="Q1276" t="str">
        <f>IF(COUNTIF($A$2:A1276,A1276)&gt;1,"Duplicate","Unique")</f>
        <v>Unique</v>
      </c>
      <c r="R1276" t="str">
        <f t="shared" si="114"/>
        <v>Valid</v>
      </c>
      <c r="S1276" t="str">
        <f t="shared" si="115"/>
        <v>Valid</v>
      </c>
      <c r="T1276" t="str">
        <f t="shared" si="116"/>
        <v>Valid</v>
      </c>
      <c r="U1276" t="str">
        <f t="shared" si="117"/>
        <v>Valid</v>
      </c>
      <c r="V1276" t="str">
        <f t="shared" si="118"/>
        <v>Valid</v>
      </c>
      <c r="W1276" t="str">
        <f t="shared" si="119"/>
        <v>Outlier</v>
      </c>
    </row>
    <row r="1277" spans="1:23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  <c r="Q1277" t="str">
        <f>IF(COUNTIF($A$2:A1277,A1277)&gt;1,"Duplicate","Unique")</f>
        <v>Unique</v>
      </c>
      <c r="R1277" t="str">
        <f t="shared" si="114"/>
        <v>Valid</v>
      </c>
      <c r="S1277" t="str">
        <f t="shared" si="115"/>
        <v>Valid</v>
      </c>
      <c r="T1277" t="str">
        <f t="shared" si="116"/>
        <v>Valid</v>
      </c>
      <c r="U1277" t="str">
        <f t="shared" si="117"/>
        <v>Valid</v>
      </c>
      <c r="V1277" t="str">
        <f t="shared" si="118"/>
        <v>Valid</v>
      </c>
      <c r="W1277" t="str">
        <f t="shared" si="119"/>
        <v>Outlier</v>
      </c>
    </row>
    <row r="1278" spans="1:23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  <c r="Q1278" t="str">
        <f>IF(COUNTIF($A$2:A1278,A1278)&gt;1,"Duplicate","Unique")</f>
        <v>Unique</v>
      </c>
      <c r="R1278" t="str">
        <f t="shared" si="114"/>
        <v>Valid</v>
      </c>
      <c r="S1278" t="str">
        <f t="shared" si="115"/>
        <v>Valid</v>
      </c>
      <c r="T1278" t="str">
        <f t="shared" si="116"/>
        <v>Valid</v>
      </c>
      <c r="U1278" t="str">
        <f t="shared" si="117"/>
        <v>Valid</v>
      </c>
      <c r="V1278" t="str">
        <f t="shared" si="118"/>
        <v>Valid</v>
      </c>
      <c r="W1278" t="str">
        <f t="shared" si="119"/>
        <v>Outlier</v>
      </c>
    </row>
    <row r="1279" spans="1:23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  <c r="Q1279" t="str">
        <f>IF(COUNTIF($A$2:A1279,A1279)&gt;1,"Duplicate","Unique")</f>
        <v>Unique</v>
      </c>
      <c r="R1279" t="str">
        <f t="shared" si="114"/>
        <v>Valid</v>
      </c>
      <c r="S1279" t="str">
        <f t="shared" si="115"/>
        <v>Valid</v>
      </c>
      <c r="T1279" t="str">
        <f t="shared" si="116"/>
        <v>Valid</v>
      </c>
      <c r="U1279" t="str">
        <f t="shared" si="117"/>
        <v>Valid</v>
      </c>
      <c r="V1279" t="str">
        <f t="shared" si="118"/>
        <v>Valid</v>
      </c>
      <c r="W1279" t="str">
        <f t="shared" si="119"/>
        <v>Outlier</v>
      </c>
    </row>
    <row r="1280" spans="1:23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  <c r="Q1280" t="str">
        <f>IF(COUNTIF($A$2:A1280,A1280)&gt;1,"Duplicate","Unique")</f>
        <v>Unique</v>
      </c>
      <c r="R1280" t="str">
        <f t="shared" si="114"/>
        <v>Valid</v>
      </c>
      <c r="S1280" t="str">
        <f t="shared" si="115"/>
        <v>Valid</v>
      </c>
      <c r="T1280" t="str">
        <f t="shared" si="116"/>
        <v>Valid</v>
      </c>
      <c r="U1280" t="str">
        <f t="shared" si="117"/>
        <v>Valid</v>
      </c>
      <c r="V1280" t="str">
        <f t="shared" si="118"/>
        <v>Valid</v>
      </c>
      <c r="W1280" t="str">
        <f t="shared" si="119"/>
        <v>Outlier</v>
      </c>
    </row>
    <row r="1281" spans="1:23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  <c r="Q1281" t="str">
        <f>IF(COUNTIF($A$2:A1281,A1281)&gt;1,"Duplicate","Unique")</f>
        <v>Unique</v>
      </c>
      <c r="R1281" t="str">
        <f t="shared" si="114"/>
        <v>Valid</v>
      </c>
      <c r="S1281" t="str">
        <f t="shared" si="115"/>
        <v>Valid</v>
      </c>
      <c r="T1281" t="str">
        <f t="shared" si="116"/>
        <v>Valid</v>
      </c>
      <c r="U1281" t="str">
        <f t="shared" si="117"/>
        <v>Valid</v>
      </c>
      <c r="V1281" t="str">
        <f t="shared" si="118"/>
        <v>Valid</v>
      </c>
      <c r="W1281" t="str">
        <f t="shared" si="119"/>
        <v>Outlier</v>
      </c>
    </row>
    <row r="1282" spans="1:23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  <c r="Q1282" t="str">
        <f>IF(COUNTIF($A$2:A1282,A1282)&gt;1,"Duplicate","Unique")</f>
        <v>Unique</v>
      </c>
      <c r="R1282" t="str">
        <f t="shared" si="114"/>
        <v>Valid</v>
      </c>
      <c r="S1282" t="str">
        <f t="shared" si="115"/>
        <v>Valid</v>
      </c>
      <c r="T1282" t="str">
        <f t="shared" si="116"/>
        <v>Valid</v>
      </c>
      <c r="U1282" t="str">
        <f t="shared" si="117"/>
        <v>Valid</v>
      </c>
      <c r="V1282" t="str">
        <f t="shared" si="118"/>
        <v>Valid</v>
      </c>
      <c r="W1282" t="str">
        <f t="shared" si="119"/>
        <v>Outlier</v>
      </c>
    </row>
    <row r="1283" spans="1:23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  <c r="Q1283" t="str">
        <f>IF(COUNTIF($A$2:A1283,A1283)&gt;1,"Duplicate","Unique")</f>
        <v>Unique</v>
      </c>
      <c r="R1283" t="str">
        <f t="shared" ref="R1283:R1346" si="120">IF(OR(H1283=0,H1283=1),"Valid","Invalid")</f>
        <v>Valid</v>
      </c>
      <c r="S1283" t="str">
        <f t="shared" ref="S1283:S1346" si="121">IF(OR(I1283=0,I1283=1),"Valid","Invalid")</f>
        <v>Valid</v>
      </c>
      <c r="T1283" t="str">
        <f t="shared" ref="T1283:T1346" si="122">IF(OR(J1283=0,J1283=1),"Valid","Invalid")</f>
        <v>Valid</v>
      </c>
      <c r="U1283" t="str">
        <f t="shared" ref="U1283:U1346" si="123">IF(OR(K1283=0,K1283=1),"Valid","Invalid")</f>
        <v>Valid</v>
      </c>
      <c r="V1283" t="str">
        <f t="shared" ref="V1283:V1346" si="124">IF(OR(N1283=0,N1283=1),"Valid","Invalid")</f>
        <v>Valid</v>
      </c>
      <c r="W1283" t="str">
        <f t="shared" ref="W1283:W1346" si="125">IF(OR(L1283&lt;$B$23,L1283&gt;$B$24),"Outlier","Normal")</f>
        <v>Outlier</v>
      </c>
    </row>
    <row r="1284" spans="1:23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  <c r="Q1284" t="str">
        <f>IF(COUNTIF($A$2:A1284,A1284)&gt;1,"Duplicate","Unique")</f>
        <v>Unique</v>
      </c>
      <c r="R1284" t="str">
        <f t="shared" si="120"/>
        <v>Valid</v>
      </c>
      <c r="S1284" t="str">
        <f t="shared" si="121"/>
        <v>Valid</v>
      </c>
      <c r="T1284" t="str">
        <f t="shared" si="122"/>
        <v>Valid</v>
      </c>
      <c r="U1284" t="str">
        <f t="shared" si="123"/>
        <v>Valid</v>
      </c>
      <c r="V1284" t="str">
        <f t="shared" si="124"/>
        <v>Valid</v>
      </c>
      <c r="W1284" t="str">
        <f t="shared" si="125"/>
        <v>Outlier</v>
      </c>
    </row>
    <row r="1285" spans="1:23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  <c r="Q1285" t="str">
        <f>IF(COUNTIF($A$2:A1285,A1285)&gt;1,"Duplicate","Unique")</f>
        <v>Unique</v>
      </c>
      <c r="R1285" t="str">
        <f t="shared" si="120"/>
        <v>Valid</v>
      </c>
      <c r="S1285" t="str">
        <f t="shared" si="121"/>
        <v>Valid</v>
      </c>
      <c r="T1285" t="str">
        <f t="shared" si="122"/>
        <v>Valid</v>
      </c>
      <c r="U1285" t="str">
        <f t="shared" si="123"/>
        <v>Valid</v>
      </c>
      <c r="V1285" t="str">
        <f t="shared" si="124"/>
        <v>Valid</v>
      </c>
      <c r="W1285" t="str">
        <f t="shared" si="125"/>
        <v>Outlier</v>
      </c>
    </row>
    <row r="1286" spans="1:23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  <c r="Q1286" t="str">
        <f>IF(COUNTIF($A$2:A1286,A1286)&gt;1,"Duplicate","Unique")</f>
        <v>Unique</v>
      </c>
      <c r="R1286" t="str">
        <f t="shared" si="120"/>
        <v>Valid</v>
      </c>
      <c r="S1286" t="str">
        <f t="shared" si="121"/>
        <v>Valid</v>
      </c>
      <c r="T1286" t="str">
        <f t="shared" si="122"/>
        <v>Valid</v>
      </c>
      <c r="U1286" t="str">
        <f t="shared" si="123"/>
        <v>Valid</v>
      </c>
      <c r="V1286" t="str">
        <f t="shared" si="124"/>
        <v>Valid</v>
      </c>
      <c r="W1286" t="str">
        <f t="shared" si="125"/>
        <v>Outlier</v>
      </c>
    </row>
    <row r="1287" spans="1:23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  <c r="Q1287" t="str">
        <f>IF(COUNTIF($A$2:A1287,A1287)&gt;1,"Duplicate","Unique")</f>
        <v>Unique</v>
      </c>
      <c r="R1287" t="str">
        <f t="shared" si="120"/>
        <v>Valid</v>
      </c>
      <c r="S1287" t="str">
        <f t="shared" si="121"/>
        <v>Valid</v>
      </c>
      <c r="T1287" t="str">
        <f t="shared" si="122"/>
        <v>Valid</v>
      </c>
      <c r="U1287" t="str">
        <f t="shared" si="123"/>
        <v>Valid</v>
      </c>
      <c r="V1287" t="str">
        <f t="shared" si="124"/>
        <v>Valid</v>
      </c>
      <c r="W1287" t="str">
        <f t="shared" si="125"/>
        <v>Outlier</v>
      </c>
    </row>
    <row r="1288" spans="1:23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  <c r="Q1288" t="str">
        <f>IF(COUNTIF($A$2:A1288,A1288)&gt;1,"Duplicate","Unique")</f>
        <v>Unique</v>
      </c>
      <c r="R1288" t="str">
        <f t="shared" si="120"/>
        <v>Valid</v>
      </c>
      <c r="S1288" t="str">
        <f t="shared" si="121"/>
        <v>Valid</v>
      </c>
      <c r="T1288" t="str">
        <f t="shared" si="122"/>
        <v>Valid</v>
      </c>
      <c r="U1288" t="str">
        <f t="shared" si="123"/>
        <v>Valid</v>
      </c>
      <c r="V1288" t="str">
        <f t="shared" si="124"/>
        <v>Valid</v>
      </c>
      <c r="W1288" t="str">
        <f t="shared" si="125"/>
        <v>Outlier</v>
      </c>
    </row>
    <row r="1289" spans="1:23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  <c r="Q1289" t="str">
        <f>IF(COUNTIF($A$2:A1289,A1289)&gt;1,"Duplicate","Unique")</f>
        <v>Unique</v>
      </c>
      <c r="R1289" t="str">
        <f t="shared" si="120"/>
        <v>Valid</v>
      </c>
      <c r="S1289" t="str">
        <f t="shared" si="121"/>
        <v>Valid</v>
      </c>
      <c r="T1289" t="str">
        <f t="shared" si="122"/>
        <v>Valid</v>
      </c>
      <c r="U1289" t="str">
        <f t="shared" si="123"/>
        <v>Valid</v>
      </c>
      <c r="V1289" t="str">
        <f t="shared" si="124"/>
        <v>Valid</v>
      </c>
      <c r="W1289" t="str">
        <f t="shared" si="125"/>
        <v>Outlier</v>
      </c>
    </row>
    <row r="1290" spans="1:23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  <c r="Q1290" t="str">
        <f>IF(COUNTIF($A$2:A1290,A1290)&gt;1,"Duplicate","Unique")</f>
        <v>Unique</v>
      </c>
      <c r="R1290" t="str">
        <f t="shared" si="120"/>
        <v>Valid</v>
      </c>
      <c r="S1290" t="str">
        <f t="shared" si="121"/>
        <v>Valid</v>
      </c>
      <c r="T1290" t="str">
        <f t="shared" si="122"/>
        <v>Valid</v>
      </c>
      <c r="U1290" t="str">
        <f t="shared" si="123"/>
        <v>Valid</v>
      </c>
      <c r="V1290" t="str">
        <f t="shared" si="124"/>
        <v>Valid</v>
      </c>
      <c r="W1290" t="str">
        <f t="shared" si="125"/>
        <v>Outlier</v>
      </c>
    </row>
    <row r="1291" spans="1:23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  <c r="Q1291" t="str">
        <f>IF(COUNTIF($A$2:A1291,A1291)&gt;1,"Duplicate","Unique")</f>
        <v>Unique</v>
      </c>
      <c r="R1291" t="str">
        <f t="shared" si="120"/>
        <v>Valid</v>
      </c>
      <c r="S1291" t="str">
        <f t="shared" si="121"/>
        <v>Valid</v>
      </c>
      <c r="T1291" t="str">
        <f t="shared" si="122"/>
        <v>Valid</v>
      </c>
      <c r="U1291" t="str">
        <f t="shared" si="123"/>
        <v>Valid</v>
      </c>
      <c r="V1291" t="str">
        <f t="shared" si="124"/>
        <v>Valid</v>
      </c>
      <c r="W1291" t="str">
        <f t="shared" si="125"/>
        <v>Outlier</v>
      </c>
    </row>
    <row r="1292" spans="1:23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  <c r="Q1292" t="str">
        <f>IF(COUNTIF($A$2:A1292,A1292)&gt;1,"Duplicate","Unique")</f>
        <v>Unique</v>
      </c>
      <c r="R1292" t="str">
        <f t="shared" si="120"/>
        <v>Valid</v>
      </c>
      <c r="S1292" t="str">
        <f t="shared" si="121"/>
        <v>Valid</v>
      </c>
      <c r="T1292" t="str">
        <f t="shared" si="122"/>
        <v>Valid</v>
      </c>
      <c r="U1292" t="str">
        <f t="shared" si="123"/>
        <v>Valid</v>
      </c>
      <c r="V1292" t="str">
        <f t="shared" si="124"/>
        <v>Valid</v>
      </c>
      <c r="W1292" t="str">
        <f t="shared" si="125"/>
        <v>Outlier</v>
      </c>
    </row>
    <row r="1293" spans="1:23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  <c r="Q1293" t="str">
        <f>IF(COUNTIF($A$2:A1293,A1293)&gt;1,"Duplicate","Unique")</f>
        <v>Unique</v>
      </c>
      <c r="R1293" t="str">
        <f t="shared" si="120"/>
        <v>Valid</v>
      </c>
      <c r="S1293" t="str">
        <f t="shared" si="121"/>
        <v>Valid</v>
      </c>
      <c r="T1293" t="str">
        <f t="shared" si="122"/>
        <v>Valid</v>
      </c>
      <c r="U1293" t="str">
        <f t="shared" si="123"/>
        <v>Valid</v>
      </c>
      <c r="V1293" t="str">
        <f t="shared" si="124"/>
        <v>Valid</v>
      </c>
      <c r="W1293" t="str">
        <f t="shared" si="125"/>
        <v>Outlier</v>
      </c>
    </row>
    <row r="1294" spans="1:23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  <c r="Q1294" t="str">
        <f>IF(COUNTIF($A$2:A1294,A1294)&gt;1,"Duplicate","Unique")</f>
        <v>Unique</v>
      </c>
      <c r="R1294" t="str">
        <f t="shared" si="120"/>
        <v>Valid</v>
      </c>
      <c r="S1294" t="str">
        <f t="shared" si="121"/>
        <v>Valid</v>
      </c>
      <c r="T1294" t="str">
        <f t="shared" si="122"/>
        <v>Valid</v>
      </c>
      <c r="U1294" t="str">
        <f t="shared" si="123"/>
        <v>Valid</v>
      </c>
      <c r="V1294" t="str">
        <f t="shared" si="124"/>
        <v>Valid</v>
      </c>
      <c r="W1294" t="str">
        <f t="shared" si="125"/>
        <v>Outlier</v>
      </c>
    </row>
    <row r="1295" spans="1:23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  <c r="Q1295" t="str">
        <f>IF(COUNTIF($A$2:A1295,A1295)&gt;1,"Duplicate","Unique")</f>
        <v>Unique</v>
      </c>
      <c r="R1295" t="str">
        <f t="shared" si="120"/>
        <v>Valid</v>
      </c>
      <c r="S1295" t="str">
        <f t="shared" si="121"/>
        <v>Valid</v>
      </c>
      <c r="T1295" t="str">
        <f t="shared" si="122"/>
        <v>Valid</v>
      </c>
      <c r="U1295" t="str">
        <f t="shared" si="123"/>
        <v>Valid</v>
      </c>
      <c r="V1295" t="str">
        <f t="shared" si="124"/>
        <v>Valid</v>
      </c>
      <c r="W1295" t="str">
        <f t="shared" si="125"/>
        <v>Outlier</v>
      </c>
    </row>
    <row r="1296" spans="1:23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  <c r="Q1296" t="str">
        <f>IF(COUNTIF($A$2:A1296,A1296)&gt;1,"Duplicate","Unique")</f>
        <v>Unique</v>
      </c>
      <c r="R1296" t="str">
        <f t="shared" si="120"/>
        <v>Valid</v>
      </c>
      <c r="S1296" t="str">
        <f t="shared" si="121"/>
        <v>Valid</v>
      </c>
      <c r="T1296" t="str">
        <f t="shared" si="122"/>
        <v>Valid</v>
      </c>
      <c r="U1296" t="str">
        <f t="shared" si="123"/>
        <v>Valid</v>
      </c>
      <c r="V1296" t="str">
        <f t="shared" si="124"/>
        <v>Valid</v>
      </c>
      <c r="W1296" t="str">
        <f t="shared" si="125"/>
        <v>Outlier</v>
      </c>
    </row>
    <row r="1297" spans="1:23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  <c r="Q1297" t="str">
        <f>IF(COUNTIF($A$2:A1297,A1297)&gt;1,"Duplicate","Unique")</f>
        <v>Unique</v>
      </c>
      <c r="R1297" t="str">
        <f t="shared" si="120"/>
        <v>Valid</v>
      </c>
      <c r="S1297" t="str">
        <f t="shared" si="121"/>
        <v>Valid</v>
      </c>
      <c r="T1297" t="str">
        <f t="shared" si="122"/>
        <v>Valid</v>
      </c>
      <c r="U1297" t="str">
        <f t="shared" si="123"/>
        <v>Valid</v>
      </c>
      <c r="V1297" t="str">
        <f t="shared" si="124"/>
        <v>Valid</v>
      </c>
      <c r="W1297" t="str">
        <f t="shared" si="125"/>
        <v>Outlier</v>
      </c>
    </row>
    <row r="1298" spans="1:23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  <c r="Q1298" t="str">
        <f>IF(COUNTIF($A$2:A1298,A1298)&gt;1,"Duplicate","Unique")</f>
        <v>Unique</v>
      </c>
      <c r="R1298" t="str">
        <f t="shared" si="120"/>
        <v>Valid</v>
      </c>
      <c r="S1298" t="str">
        <f t="shared" si="121"/>
        <v>Valid</v>
      </c>
      <c r="T1298" t="str">
        <f t="shared" si="122"/>
        <v>Valid</v>
      </c>
      <c r="U1298" t="str">
        <f t="shared" si="123"/>
        <v>Valid</v>
      </c>
      <c r="V1298" t="str">
        <f t="shared" si="124"/>
        <v>Valid</v>
      </c>
      <c r="W1298" t="str">
        <f t="shared" si="125"/>
        <v>Outlier</v>
      </c>
    </row>
    <row r="1299" spans="1:23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  <c r="Q1299" t="str">
        <f>IF(COUNTIF($A$2:A1299,A1299)&gt;1,"Duplicate","Unique")</f>
        <v>Unique</v>
      </c>
      <c r="R1299" t="str">
        <f t="shared" si="120"/>
        <v>Valid</v>
      </c>
      <c r="S1299" t="str">
        <f t="shared" si="121"/>
        <v>Valid</v>
      </c>
      <c r="T1299" t="str">
        <f t="shared" si="122"/>
        <v>Valid</v>
      </c>
      <c r="U1299" t="str">
        <f t="shared" si="123"/>
        <v>Valid</v>
      </c>
      <c r="V1299" t="str">
        <f t="shared" si="124"/>
        <v>Valid</v>
      </c>
      <c r="W1299" t="str">
        <f t="shared" si="125"/>
        <v>Outlier</v>
      </c>
    </row>
    <row r="1300" spans="1:23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  <c r="Q1300" t="str">
        <f>IF(COUNTIF($A$2:A1300,A1300)&gt;1,"Duplicate","Unique")</f>
        <v>Unique</v>
      </c>
      <c r="R1300" t="str">
        <f t="shared" si="120"/>
        <v>Valid</v>
      </c>
      <c r="S1300" t="str">
        <f t="shared" si="121"/>
        <v>Valid</v>
      </c>
      <c r="T1300" t="str">
        <f t="shared" si="122"/>
        <v>Valid</v>
      </c>
      <c r="U1300" t="str">
        <f t="shared" si="123"/>
        <v>Valid</v>
      </c>
      <c r="V1300" t="str">
        <f t="shared" si="124"/>
        <v>Valid</v>
      </c>
      <c r="W1300" t="str">
        <f t="shared" si="125"/>
        <v>Outlier</v>
      </c>
    </row>
    <row r="1301" spans="1:23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  <c r="Q1301" t="str">
        <f>IF(COUNTIF($A$2:A1301,A1301)&gt;1,"Duplicate","Unique")</f>
        <v>Unique</v>
      </c>
      <c r="R1301" t="str">
        <f t="shared" si="120"/>
        <v>Valid</v>
      </c>
      <c r="S1301" t="str">
        <f t="shared" si="121"/>
        <v>Valid</v>
      </c>
      <c r="T1301" t="str">
        <f t="shared" si="122"/>
        <v>Valid</v>
      </c>
      <c r="U1301" t="str">
        <f t="shared" si="123"/>
        <v>Valid</v>
      </c>
      <c r="V1301" t="str">
        <f t="shared" si="124"/>
        <v>Valid</v>
      </c>
      <c r="W1301" t="str">
        <f t="shared" si="125"/>
        <v>Outlier</v>
      </c>
    </row>
    <row r="1302" spans="1:23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  <c r="Q1302" t="str">
        <f>IF(COUNTIF($A$2:A1302,A1302)&gt;1,"Duplicate","Unique")</f>
        <v>Unique</v>
      </c>
      <c r="R1302" t="str">
        <f t="shared" si="120"/>
        <v>Valid</v>
      </c>
      <c r="S1302" t="str">
        <f t="shared" si="121"/>
        <v>Valid</v>
      </c>
      <c r="T1302" t="str">
        <f t="shared" si="122"/>
        <v>Valid</v>
      </c>
      <c r="U1302" t="str">
        <f t="shared" si="123"/>
        <v>Valid</v>
      </c>
      <c r="V1302" t="str">
        <f t="shared" si="124"/>
        <v>Valid</v>
      </c>
      <c r="W1302" t="str">
        <f t="shared" si="125"/>
        <v>Outlier</v>
      </c>
    </row>
    <row r="1303" spans="1:23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  <c r="Q1303" t="str">
        <f>IF(COUNTIF($A$2:A1303,A1303)&gt;1,"Duplicate","Unique")</f>
        <v>Unique</v>
      </c>
      <c r="R1303" t="str">
        <f t="shared" si="120"/>
        <v>Valid</v>
      </c>
      <c r="S1303" t="str">
        <f t="shared" si="121"/>
        <v>Valid</v>
      </c>
      <c r="T1303" t="str">
        <f t="shared" si="122"/>
        <v>Valid</v>
      </c>
      <c r="U1303" t="str">
        <f t="shared" si="123"/>
        <v>Valid</v>
      </c>
      <c r="V1303" t="str">
        <f t="shared" si="124"/>
        <v>Valid</v>
      </c>
      <c r="W1303" t="str">
        <f t="shared" si="125"/>
        <v>Outlier</v>
      </c>
    </row>
    <row r="1304" spans="1:23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  <c r="Q1304" t="str">
        <f>IF(COUNTIF($A$2:A1304,A1304)&gt;1,"Duplicate","Unique")</f>
        <v>Unique</v>
      </c>
      <c r="R1304" t="str">
        <f t="shared" si="120"/>
        <v>Valid</v>
      </c>
      <c r="S1304" t="str">
        <f t="shared" si="121"/>
        <v>Valid</v>
      </c>
      <c r="T1304" t="str">
        <f t="shared" si="122"/>
        <v>Valid</v>
      </c>
      <c r="U1304" t="str">
        <f t="shared" si="123"/>
        <v>Valid</v>
      </c>
      <c r="V1304" t="str">
        <f t="shared" si="124"/>
        <v>Valid</v>
      </c>
      <c r="W1304" t="str">
        <f t="shared" si="125"/>
        <v>Outlier</v>
      </c>
    </row>
    <row r="1305" spans="1:23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  <c r="Q1305" t="str">
        <f>IF(COUNTIF($A$2:A1305,A1305)&gt;1,"Duplicate","Unique")</f>
        <v>Unique</v>
      </c>
      <c r="R1305" t="str">
        <f t="shared" si="120"/>
        <v>Valid</v>
      </c>
      <c r="S1305" t="str">
        <f t="shared" si="121"/>
        <v>Valid</v>
      </c>
      <c r="T1305" t="str">
        <f t="shared" si="122"/>
        <v>Valid</v>
      </c>
      <c r="U1305" t="str">
        <f t="shared" si="123"/>
        <v>Valid</v>
      </c>
      <c r="V1305" t="str">
        <f t="shared" si="124"/>
        <v>Valid</v>
      </c>
      <c r="W1305" t="str">
        <f t="shared" si="125"/>
        <v>Outlier</v>
      </c>
    </row>
    <row r="1306" spans="1:23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  <c r="Q1306" t="str">
        <f>IF(COUNTIF($A$2:A1306,A1306)&gt;1,"Duplicate","Unique")</f>
        <v>Unique</v>
      </c>
      <c r="R1306" t="str">
        <f t="shared" si="120"/>
        <v>Valid</v>
      </c>
      <c r="S1306" t="str">
        <f t="shared" si="121"/>
        <v>Valid</v>
      </c>
      <c r="T1306" t="str">
        <f t="shared" si="122"/>
        <v>Valid</v>
      </c>
      <c r="U1306" t="str">
        <f t="shared" si="123"/>
        <v>Valid</v>
      </c>
      <c r="V1306" t="str">
        <f t="shared" si="124"/>
        <v>Valid</v>
      </c>
      <c r="W1306" t="str">
        <f t="shared" si="125"/>
        <v>Outlier</v>
      </c>
    </row>
    <row r="1307" spans="1:23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  <c r="Q1307" t="str">
        <f>IF(COUNTIF($A$2:A1307,A1307)&gt;1,"Duplicate","Unique")</f>
        <v>Unique</v>
      </c>
      <c r="R1307" t="str">
        <f t="shared" si="120"/>
        <v>Valid</v>
      </c>
      <c r="S1307" t="str">
        <f t="shared" si="121"/>
        <v>Valid</v>
      </c>
      <c r="T1307" t="str">
        <f t="shared" si="122"/>
        <v>Valid</v>
      </c>
      <c r="U1307" t="str">
        <f t="shared" si="123"/>
        <v>Valid</v>
      </c>
      <c r="V1307" t="str">
        <f t="shared" si="124"/>
        <v>Valid</v>
      </c>
      <c r="W1307" t="str">
        <f t="shared" si="125"/>
        <v>Outlier</v>
      </c>
    </row>
    <row r="1308" spans="1:23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  <c r="Q1308" t="str">
        <f>IF(COUNTIF($A$2:A1308,A1308)&gt;1,"Duplicate","Unique")</f>
        <v>Unique</v>
      </c>
      <c r="R1308" t="str">
        <f t="shared" si="120"/>
        <v>Valid</v>
      </c>
      <c r="S1308" t="str">
        <f t="shared" si="121"/>
        <v>Valid</v>
      </c>
      <c r="T1308" t="str">
        <f t="shared" si="122"/>
        <v>Valid</v>
      </c>
      <c r="U1308" t="str">
        <f t="shared" si="123"/>
        <v>Valid</v>
      </c>
      <c r="V1308" t="str">
        <f t="shared" si="124"/>
        <v>Valid</v>
      </c>
      <c r="W1308" t="str">
        <f t="shared" si="125"/>
        <v>Outlier</v>
      </c>
    </row>
    <row r="1309" spans="1:23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  <c r="Q1309" t="str">
        <f>IF(COUNTIF($A$2:A1309,A1309)&gt;1,"Duplicate","Unique")</f>
        <v>Unique</v>
      </c>
      <c r="R1309" t="str">
        <f t="shared" si="120"/>
        <v>Valid</v>
      </c>
      <c r="S1309" t="str">
        <f t="shared" si="121"/>
        <v>Valid</v>
      </c>
      <c r="T1309" t="str">
        <f t="shared" si="122"/>
        <v>Valid</v>
      </c>
      <c r="U1309" t="str">
        <f t="shared" si="123"/>
        <v>Valid</v>
      </c>
      <c r="V1309" t="str">
        <f t="shared" si="124"/>
        <v>Valid</v>
      </c>
      <c r="W1309" t="str">
        <f t="shared" si="125"/>
        <v>Outlier</v>
      </c>
    </row>
    <row r="1310" spans="1:23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  <c r="Q1310" t="str">
        <f>IF(COUNTIF($A$2:A1310,A1310)&gt;1,"Duplicate","Unique")</f>
        <v>Unique</v>
      </c>
      <c r="R1310" t="str">
        <f t="shared" si="120"/>
        <v>Valid</v>
      </c>
      <c r="S1310" t="str">
        <f t="shared" si="121"/>
        <v>Valid</v>
      </c>
      <c r="T1310" t="str">
        <f t="shared" si="122"/>
        <v>Valid</v>
      </c>
      <c r="U1310" t="str">
        <f t="shared" si="123"/>
        <v>Valid</v>
      </c>
      <c r="V1310" t="str">
        <f t="shared" si="124"/>
        <v>Valid</v>
      </c>
      <c r="W1310" t="str">
        <f t="shared" si="125"/>
        <v>Outlier</v>
      </c>
    </row>
    <row r="1311" spans="1:23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  <c r="Q1311" t="str">
        <f>IF(COUNTIF($A$2:A1311,A1311)&gt;1,"Duplicate","Unique")</f>
        <v>Unique</v>
      </c>
      <c r="R1311" t="str">
        <f t="shared" si="120"/>
        <v>Valid</v>
      </c>
      <c r="S1311" t="str">
        <f t="shared" si="121"/>
        <v>Valid</v>
      </c>
      <c r="T1311" t="str">
        <f t="shared" si="122"/>
        <v>Valid</v>
      </c>
      <c r="U1311" t="str">
        <f t="shared" si="123"/>
        <v>Valid</v>
      </c>
      <c r="V1311" t="str">
        <f t="shared" si="124"/>
        <v>Valid</v>
      </c>
      <c r="W1311" t="str">
        <f t="shared" si="125"/>
        <v>Outlier</v>
      </c>
    </row>
    <row r="1312" spans="1:23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  <c r="Q1312" t="str">
        <f>IF(COUNTIF($A$2:A1312,A1312)&gt;1,"Duplicate","Unique")</f>
        <v>Unique</v>
      </c>
      <c r="R1312" t="str">
        <f t="shared" si="120"/>
        <v>Valid</v>
      </c>
      <c r="S1312" t="str">
        <f t="shared" si="121"/>
        <v>Valid</v>
      </c>
      <c r="T1312" t="str">
        <f t="shared" si="122"/>
        <v>Valid</v>
      </c>
      <c r="U1312" t="str">
        <f t="shared" si="123"/>
        <v>Valid</v>
      </c>
      <c r="V1312" t="str">
        <f t="shared" si="124"/>
        <v>Valid</v>
      </c>
      <c r="W1312" t="str">
        <f t="shared" si="125"/>
        <v>Outlier</v>
      </c>
    </row>
    <row r="1313" spans="1:23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  <c r="Q1313" t="str">
        <f>IF(COUNTIF($A$2:A1313,A1313)&gt;1,"Duplicate","Unique")</f>
        <v>Unique</v>
      </c>
      <c r="R1313" t="str">
        <f t="shared" si="120"/>
        <v>Valid</v>
      </c>
      <c r="S1313" t="str">
        <f t="shared" si="121"/>
        <v>Valid</v>
      </c>
      <c r="T1313" t="str">
        <f t="shared" si="122"/>
        <v>Valid</v>
      </c>
      <c r="U1313" t="str">
        <f t="shared" si="123"/>
        <v>Valid</v>
      </c>
      <c r="V1313" t="str">
        <f t="shared" si="124"/>
        <v>Valid</v>
      </c>
      <c r="W1313" t="str">
        <f t="shared" si="125"/>
        <v>Outlier</v>
      </c>
    </row>
    <row r="1314" spans="1:23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  <c r="Q1314" t="str">
        <f>IF(COUNTIF($A$2:A1314,A1314)&gt;1,"Duplicate","Unique")</f>
        <v>Unique</v>
      </c>
      <c r="R1314" t="str">
        <f t="shared" si="120"/>
        <v>Valid</v>
      </c>
      <c r="S1314" t="str">
        <f t="shared" si="121"/>
        <v>Valid</v>
      </c>
      <c r="T1314" t="str">
        <f t="shared" si="122"/>
        <v>Valid</v>
      </c>
      <c r="U1314" t="str">
        <f t="shared" si="123"/>
        <v>Valid</v>
      </c>
      <c r="V1314" t="str">
        <f t="shared" si="124"/>
        <v>Valid</v>
      </c>
      <c r="W1314" t="str">
        <f t="shared" si="125"/>
        <v>Outlier</v>
      </c>
    </row>
    <row r="1315" spans="1:23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  <c r="Q1315" t="str">
        <f>IF(COUNTIF($A$2:A1315,A1315)&gt;1,"Duplicate","Unique")</f>
        <v>Unique</v>
      </c>
      <c r="R1315" t="str">
        <f t="shared" si="120"/>
        <v>Valid</v>
      </c>
      <c r="S1315" t="str">
        <f t="shared" si="121"/>
        <v>Valid</v>
      </c>
      <c r="T1315" t="str">
        <f t="shared" si="122"/>
        <v>Valid</v>
      </c>
      <c r="U1315" t="str">
        <f t="shared" si="123"/>
        <v>Valid</v>
      </c>
      <c r="V1315" t="str">
        <f t="shared" si="124"/>
        <v>Valid</v>
      </c>
      <c r="W1315" t="str">
        <f t="shared" si="125"/>
        <v>Outlier</v>
      </c>
    </row>
    <row r="1316" spans="1:23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  <c r="Q1316" t="str">
        <f>IF(COUNTIF($A$2:A1316,A1316)&gt;1,"Duplicate","Unique")</f>
        <v>Unique</v>
      </c>
      <c r="R1316" t="str">
        <f t="shared" si="120"/>
        <v>Valid</v>
      </c>
      <c r="S1316" t="str">
        <f t="shared" si="121"/>
        <v>Valid</v>
      </c>
      <c r="T1316" t="str">
        <f t="shared" si="122"/>
        <v>Valid</v>
      </c>
      <c r="U1316" t="str">
        <f t="shared" si="123"/>
        <v>Valid</v>
      </c>
      <c r="V1316" t="str">
        <f t="shared" si="124"/>
        <v>Valid</v>
      </c>
      <c r="W1316" t="str">
        <f t="shared" si="125"/>
        <v>Outlier</v>
      </c>
    </row>
    <row r="1317" spans="1:23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Q1317" t="str">
        <f>IF(COUNTIF($A$2:A1317,A1317)&gt;1,"Duplicate","Unique")</f>
        <v>Unique</v>
      </c>
      <c r="R1317" t="str">
        <f t="shared" si="120"/>
        <v>Valid</v>
      </c>
      <c r="S1317" t="str">
        <f t="shared" si="121"/>
        <v>Valid</v>
      </c>
      <c r="T1317" t="str">
        <f t="shared" si="122"/>
        <v>Valid</v>
      </c>
      <c r="U1317" t="str">
        <f t="shared" si="123"/>
        <v>Valid</v>
      </c>
      <c r="V1317" t="str">
        <f t="shared" si="124"/>
        <v>Valid</v>
      </c>
      <c r="W1317" t="str">
        <f t="shared" si="125"/>
        <v>Outlier</v>
      </c>
    </row>
    <row r="1318" spans="1:23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  <c r="Q1318" t="str">
        <f>IF(COUNTIF($A$2:A1318,A1318)&gt;1,"Duplicate","Unique")</f>
        <v>Unique</v>
      </c>
      <c r="R1318" t="str">
        <f t="shared" si="120"/>
        <v>Valid</v>
      </c>
      <c r="S1318" t="str">
        <f t="shared" si="121"/>
        <v>Valid</v>
      </c>
      <c r="T1318" t="str">
        <f t="shared" si="122"/>
        <v>Valid</v>
      </c>
      <c r="U1318" t="str">
        <f t="shared" si="123"/>
        <v>Valid</v>
      </c>
      <c r="V1318" t="str">
        <f t="shared" si="124"/>
        <v>Valid</v>
      </c>
      <c r="W1318" t="str">
        <f t="shared" si="125"/>
        <v>Outlier</v>
      </c>
    </row>
    <row r="1319" spans="1:23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  <c r="Q1319" t="str">
        <f>IF(COUNTIF($A$2:A1319,A1319)&gt;1,"Duplicate","Unique")</f>
        <v>Unique</v>
      </c>
      <c r="R1319" t="str">
        <f t="shared" si="120"/>
        <v>Valid</v>
      </c>
      <c r="S1319" t="str">
        <f t="shared" si="121"/>
        <v>Valid</v>
      </c>
      <c r="T1319" t="str">
        <f t="shared" si="122"/>
        <v>Valid</v>
      </c>
      <c r="U1319" t="str">
        <f t="shared" si="123"/>
        <v>Valid</v>
      </c>
      <c r="V1319" t="str">
        <f t="shared" si="124"/>
        <v>Valid</v>
      </c>
      <c r="W1319" t="str">
        <f t="shared" si="125"/>
        <v>Outlier</v>
      </c>
    </row>
    <row r="1320" spans="1:23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  <c r="Q1320" t="str">
        <f>IF(COUNTIF($A$2:A1320,A1320)&gt;1,"Duplicate","Unique")</f>
        <v>Unique</v>
      </c>
      <c r="R1320" t="str">
        <f t="shared" si="120"/>
        <v>Valid</v>
      </c>
      <c r="S1320" t="str">
        <f t="shared" si="121"/>
        <v>Valid</v>
      </c>
      <c r="T1320" t="str">
        <f t="shared" si="122"/>
        <v>Valid</v>
      </c>
      <c r="U1320" t="str">
        <f t="shared" si="123"/>
        <v>Valid</v>
      </c>
      <c r="V1320" t="str">
        <f t="shared" si="124"/>
        <v>Valid</v>
      </c>
      <c r="W1320" t="str">
        <f t="shared" si="125"/>
        <v>Outlier</v>
      </c>
    </row>
    <row r="1321" spans="1:23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  <c r="Q1321" t="str">
        <f>IF(COUNTIF($A$2:A1321,A1321)&gt;1,"Duplicate","Unique")</f>
        <v>Unique</v>
      </c>
      <c r="R1321" t="str">
        <f t="shared" si="120"/>
        <v>Valid</v>
      </c>
      <c r="S1321" t="str">
        <f t="shared" si="121"/>
        <v>Valid</v>
      </c>
      <c r="T1321" t="str">
        <f t="shared" si="122"/>
        <v>Valid</v>
      </c>
      <c r="U1321" t="str">
        <f t="shared" si="123"/>
        <v>Valid</v>
      </c>
      <c r="V1321" t="str">
        <f t="shared" si="124"/>
        <v>Valid</v>
      </c>
      <c r="W1321" t="str">
        <f t="shared" si="125"/>
        <v>Outlier</v>
      </c>
    </row>
    <row r="1322" spans="1:23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  <c r="Q1322" t="str">
        <f>IF(COUNTIF($A$2:A1322,A1322)&gt;1,"Duplicate","Unique")</f>
        <v>Unique</v>
      </c>
      <c r="R1322" t="str">
        <f t="shared" si="120"/>
        <v>Valid</v>
      </c>
      <c r="S1322" t="str">
        <f t="shared" si="121"/>
        <v>Valid</v>
      </c>
      <c r="T1322" t="str">
        <f t="shared" si="122"/>
        <v>Valid</v>
      </c>
      <c r="U1322" t="str">
        <f t="shared" si="123"/>
        <v>Valid</v>
      </c>
      <c r="V1322" t="str">
        <f t="shared" si="124"/>
        <v>Valid</v>
      </c>
      <c r="W1322" t="str">
        <f t="shared" si="125"/>
        <v>Outlier</v>
      </c>
    </row>
    <row r="1323" spans="1:23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  <c r="Q1323" t="str">
        <f>IF(COUNTIF($A$2:A1323,A1323)&gt;1,"Duplicate","Unique")</f>
        <v>Unique</v>
      </c>
      <c r="R1323" t="str">
        <f t="shared" si="120"/>
        <v>Valid</v>
      </c>
      <c r="S1323" t="str">
        <f t="shared" si="121"/>
        <v>Valid</v>
      </c>
      <c r="T1323" t="str">
        <f t="shared" si="122"/>
        <v>Valid</v>
      </c>
      <c r="U1323" t="str">
        <f t="shared" si="123"/>
        <v>Valid</v>
      </c>
      <c r="V1323" t="str">
        <f t="shared" si="124"/>
        <v>Valid</v>
      </c>
      <c r="W1323" t="str">
        <f t="shared" si="125"/>
        <v>Outlier</v>
      </c>
    </row>
    <row r="1324" spans="1:23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  <c r="Q1324" t="str">
        <f>IF(COUNTIF($A$2:A1324,A1324)&gt;1,"Duplicate","Unique")</f>
        <v>Unique</v>
      </c>
      <c r="R1324" t="str">
        <f t="shared" si="120"/>
        <v>Valid</v>
      </c>
      <c r="S1324" t="str">
        <f t="shared" si="121"/>
        <v>Valid</v>
      </c>
      <c r="T1324" t="str">
        <f t="shared" si="122"/>
        <v>Valid</v>
      </c>
      <c r="U1324" t="str">
        <f t="shared" si="123"/>
        <v>Valid</v>
      </c>
      <c r="V1324" t="str">
        <f t="shared" si="124"/>
        <v>Valid</v>
      </c>
      <c r="W1324" t="str">
        <f t="shared" si="125"/>
        <v>Outlier</v>
      </c>
    </row>
    <row r="1325" spans="1:23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  <c r="Q1325" t="str">
        <f>IF(COUNTIF($A$2:A1325,A1325)&gt;1,"Duplicate","Unique")</f>
        <v>Unique</v>
      </c>
      <c r="R1325" t="str">
        <f t="shared" si="120"/>
        <v>Valid</v>
      </c>
      <c r="S1325" t="str">
        <f t="shared" si="121"/>
        <v>Valid</v>
      </c>
      <c r="T1325" t="str">
        <f t="shared" si="122"/>
        <v>Valid</v>
      </c>
      <c r="U1325" t="str">
        <f t="shared" si="123"/>
        <v>Valid</v>
      </c>
      <c r="V1325" t="str">
        <f t="shared" si="124"/>
        <v>Valid</v>
      </c>
      <c r="W1325" t="str">
        <f t="shared" si="125"/>
        <v>Outlier</v>
      </c>
    </row>
    <row r="1326" spans="1:23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  <c r="Q1326" t="str">
        <f>IF(COUNTIF($A$2:A1326,A1326)&gt;1,"Duplicate","Unique")</f>
        <v>Unique</v>
      </c>
      <c r="R1326" t="str">
        <f t="shared" si="120"/>
        <v>Valid</v>
      </c>
      <c r="S1326" t="str">
        <f t="shared" si="121"/>
        <v>Valid</v>
      </c>
      <c r="T1326" t="str">
        <f t="shared" si="122"/>
        <v>Valid</v>
      </c>
      <c r="U1326" t="str">
        <f t="shared" si="123"/>
        <v>Valid</v>
      </c>
      <c r="V1326" t="str">
        <f t="shared" si="124"/>
        <v>Valid</v>
      </c>
      <c r="W1326" t="str">
        <f t="shared" si="125"/>
        <v>Outlier</v>
      </c>
    </row>
    <row r="1327" spans="1:23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  <c r="Q1327" t="str">
        <f>IF(COUNTIF($A$2:A1327,A1327)&gt;1,"Duplicate","Unique")</f>
        <v>Unique</v>
      </c>
      <c r="R1327" t="str">
        <f t="shared" si="120"/>
        <v>Valid</v>
      </c>
      <c r="S1327" t="str">
        <f t="shared" si="121"/>
        <v>Valid</v>
      </c>
      <c r="T1327" t="str">
        <f t="shared" si="122"/>
        <v>Valid</v>
      </c>
      <c r="U1327" t="str">
        <f t="shared" si="123"/>
        <v>Valid</v>
      </c>
      <c r="V1327" t="str">
        <f t="shared" si="124"/>
        <v>Valid</v>
      </c>
      <c r="W1327" t="str">
        <f t="shared" si="125"/>
        <v>Outlier</v>
      </c>
    </row>
    <row r="1328" spans="1:23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  <c r="Q1328" t="str">
        <f>IF(COUNTIF($A$2:A1328,A1328)&gt;1,"Duplicate","Unique")</f>
        <v>Unique</v>
      </c>
      <c r="R1328" t="str">
        <f t="shared" si="120"/>
        <v>Valid</v>
      </c>
      <c r="S1328" t="str">
        <f t="shared" si="121"/>
        <v>Valid</v>
      </c>
      <c r="T1328" t="str">
        <f t="shared" si="122"/>
        <v>Valid</v>
      </c>
      <c r="U1328" t="str">
        <f t="shared" si="123"/>
        <v>Valid</v>
      </c>
      <c r="V1328" t="str">
        <f t="shared" si="124"/>
        <v>Valid</v>
      </c>
      <c r="W1328" t="str">
        <f t="shared" si="125"/>
        <v>Outlier</v>
      </c>
    </row>
    <row r="1329" spans="1:23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  <c r="Q1329" t="str">
        <f>IF(COUNTIF($A$2:A1329,A1329)&gt;1,"Duplicate","Unique")</f>
        <v>Unique</v>
      </c>
      <c r="R1329" t="str">
        <f t="shared" si="120"/>
        <v>Valid</v>
      </c>
      <c r="S1329" t="str">
        <f t="shared" si="121"/>
        <v>Valid</v>
      </c>
      <c r="T1329" t="str">
        <f t="shared" si="122"/>
        <v>Valid</v>
      </c>
      <c r="U1329" t="str">
        <f t="shared" si="123"/>
        <v>Valid</v>
      </c>
      <c r="V1329" t="str">
        <f t="shared" si="124"/>
        <v>Valid</v>
      </c>
      <c r="W1329" t="str">
        <f t="shared" si="125"/>
        <v>Outlier</v>
      </c>
    </row>
    <row r="1330" spans="1:23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  <c r="Q1330" t="str">
        <f>IF(COUNTIF($A$2:A1330,A1330)&gt;1,"Duplicate","Unique")</f>
        <v>Unique</v>
      </c>
      <c r="R1330" t="str">
        <f t="shared" si="120"/>
        <v>Valid</v>
      </c>
      <c r="S1330" t="str">
        <f t="shared" si="121"/>
        <v>Valid</v>
      </c>
      <c r="T1330" t="str">
        <f t="shared" si="122"/>
        <v>Valid</v>
      </c>
      <c r="U1330" t="str">
        <f t="shared" si="123"/>
        <v>Valid</v>
      </c>
      <c r="V1330" t="str">
        <f t="shared" si="124"/>
        <v>Valid</v>
      </c>
      <c r="W1330" t="str">
        <f t="shared" si="125"/>
        <v>Outlier</v>
      </c>
    </row>
    <row r="1331" spans="1:23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  <c r="Q1331" t="str">
        <f>IF(COUNTIF($A$2:A1331,A1331)&gt;1,"Duplicate","Unique")</f>
        <v>Unique</v>
      </c>
      <c r="R1331" t="str">
        <f t="shared" si="120"/>
        <v>Valid</v>
      </c>
      <c r="S1331" t="str">
        <f t="shared" si="121"/>
        <v>Valid</v>
      </c>
      <c r="T1331" t="str">
        <f t="shared" si="122"/>
        <v>Valid</v>
      </c>
      <c r="U1331" t="str">
        <f t="shared" si="123"/>
        <v>Valid</v>
      </c>
      <c r="V1331" t="str">
        <f t="shared" si="124"/>
        <v>Valid</v>
      </c>
      <c r="W1331" t="str">
        <f t="shared" si="125"/>
        <v>Outlier</v>
      </c>
    </row>
    <row r="1332" spans="1:23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  <c r="Q1332" t="str">
        <f>IF(COUNTIF($A$2:A1332,A1332)&gt;1,"Duplicate","Unique")</f>
        <v>Unique</v>
      </c>
      <c r="R1332" t="str">
        <f t="shared" si="120"/>
        <v>Valid</v>
      </c>
      <c r="S1332" t="str">
        <f t="shared" si="121"/>
        <v>Valid</v>
      </c>
      <c r="T1332" t="str">
        <f t="shared" si="122"/>
        <v>Valid</v>
      </c>
      <c r="U1332" t="str">
        <f t="shared" si="123"/>
        <v>Valid</v>
      </c>
      <c r="V1332" t="str">
        <f t="shared" si="124"/>
        <v>Valid</v>
      </c>
      <c r="W1332" t="str">
        <f t="shared" si="125"/>
        <v>Outlier</v>
      </c>
    </row>
    <row r="1333" spans="1:23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  <c r="Q1333" t="str">
        <f>IF(COUNTIF($A$2:A1333,A1333)&gt;1,"Duplicate","Unique")</f>
        <v>Unique</v>
      </c>
      <c r="R1333" t="str">
        <f t="shared" si="120"/>
        <v>Valid</v>
      </c>
      <c r="S1333" t="str">
        <f t="shared" si="121"/>
        <v>Valid</v>
      </c>
      <c r="T1333" t="str">
        <f t="shared" si="122"/>
        <v>Valid</v>
      </c>
      <c r="U1333" t="str">
        <f t="shared" si="123"/>
        <v>Valid</v>
      </c>
      <c r="V1333" t="str">
        <f t="shared" si="124"/>
        <v>Valid</v>
      </c>
      <c r="W1333" t="str">
        <f t="shared" si="125"/>
        <v>Outlier</v>
      </c>
    </row>
    <row r="1334" spans="1:23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  <c r="Q1334" t="str">
        <f>IF(COUNTIF($A$2:A1334,A1334)&gt;1,"Duplicate","Unique")</f>
        <v>Unique</v>
      </c>
      <c r="R1334" t="str">
        <f t="shared" si="120"/>
        <v>Valid</v>
      </c>
      <c r="S1334" t="str">
        <f t="shared" si="121"/>
        <v>Valid</v>
      </c>
      <c r="T1334" t="str">
        <f t="shared" si="122"/>
        <v>Valid</v>
      </c>
      <c r="U1334" t="str">
        <f t="shared" si="123"/>
        <v>Valid</v>
      </c>
      <c r="V1334" t="str">
        <f t="shared" si="124"/>
        <v>Valid</v>
      </c>
      <c r="W1334" t="str">
        <f t="shared" si="125"/>
        <v>Outlier</v>
      </c>
    </row>
    <row r="1335" spans="1:23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  <c r="Q1335" t="str">
        <f>IF(COUNTIF($A$2:A1335,A1335)&gt;1,"Duplicate","Unique")</f>
        <v>Unique</v>
      </c>
      <c r="R1335" t="str">
        <f t="shared" si="120"/>
        <v>Valid</v>
      </c>
      <c r="S1335" t="str">
        <f t="shared" si="121"/>
        <v>Valid</v>
      </c>
      <c r="T1335" t="str">
        <f t="shared" si="122"/>
        <v>Valid</v>
      </c>
      <c r="U1335" t="str">
        <f t="shared" si="123"/>
        <v>Valid</v>
      </c>
      <c r="V1335" t="str">
        <f t="shared" si="124"/>
        <v>Valid</v>
      </c>
      <c r="W1335" t="str">
        <f t="shared" si="125"/>
        <v>Outlier</v>
      </c>
    </row>
    <row r="1336" spans="1:23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  <c r="Q1336" t="str">
        <f>IF(COUNTIF($A$2:A1336,A1336)&gt;1,"Duplicate","Unique")</f>
        <v>Unique</v>
      </c>
      <c r="R1336" t="str">
        <f t="shared" si="120"/>
        <v>Valid</v>
      </c>
      <c r="S1336" t="str">
        <f t="shared" si="121"/>
        <v>Valid</v>
      </c>
      <c r="T1336" t="str">
        <f t="shared" si="122"/>
        <v>Valid</v>
      </c>
      <c r="U1336" t="str">
        <f t="shared" si="123"/>
        <v>Valid</v>
      </c>
      <c r="V1336" t="str">
        <f t="shared" si="124"/>
        <v>Valid</v>
      </c>
      <c r="W1336" t="str">
        <f t="shared" si="125"/>
        <v>Outlier</v>
      </c>
    </row>
    <row r="1337" spans="1:23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  <c r="Q1337" t="str">
        <f>IF(COUNTIF($A$2:A1337,A1337)&gt;1,"Duplicate","Unique")</f>
        <v>Unique</v>
      </c>
      <c r="R1337" t="str">
        <f t="shared" si="120"/>
        <v>Valid</v>
      </c>
      <c r="S1337" t="str">
        <f t="shared" si="121"/>
        <v>Valid</v>
      </c>
      <c r="T1337" t="str">
        <f t="shared" si="122"/>
        <v>Valid</v>
      </c>
      <c r="U1337" t="str">
        <f t="shared" si="123"/>
        <v>Valid</v>
      </c>
      <c r="V1337" t="str">
        <f t="shared" si="124"/>
        <v>Valid</v>
      </c>
      <c r="W1337" t="str">
        <f t="shared" si="125"/>
        <v>Outlier</v>
      </c>
    </row>
    <row r="1338" spans="1:23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  <c r="Q1338" t="str">
        <f>IF(COUNTIF($A$2:A1338,A1338)&gt;1,"Duplicate","Unique")</f>
        <v>Unique</v>
      </c>
      <c r="R1338" t="str">
        <f t="shared" si="120"/>
        <v>Valid</v>
      </c>
      <c r="S1338" t="str">
        <f t="shared" si="121"/>
        <v>Valid</v>
      </c>
      <c r="T1338" t="str">
        <f t="shared" si="122"/>
        <v>Valid</v>
      </c>
      <c r="U1338" t="str">
        <f t="shared" si="123"/>
        <v>Valid</v>
      </c>
      <c r="V1338" t="str">
        <f t="shared" si="124"/>
        <v>Valid</v>
      </c>
      <c r="W1338" t="str">
        <f t="shared" si="125"/>
        <v>Outlier</v>
      </c>
    </row>
    <row r="1339" spans="1:23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  <c r="Q1339" t="str">
        <f>IF(COUNTIF($A$2:A1339,A1339)&gt;1,"Duplicate","Unique")</f>
        <v>Unique</v>
      </c>
      <c r="R1339" t="str">
        <f t="shared" si="120"/>
        <v>Valid</v>
      </c>
      <c r="S1339" t="str">
        <f t="shared" si="121"/>
        <v>Valid</v>
      </c>
      <c r="T1339" t="str">
        <f t="shared" si="122"/>
        <v>Valid</v>
      </c>
      <c r="U1339" t="str">
        <f t="shared" si="123"/>
        <v>Valid</v>
      </c>
      <c r="V1339" t="str">
        <f t="shared" si="124"/>
        <v>Valid</v>
      </c>
      <c r="W1339" t="str">
        <f t="shared" si="125"/>
        <v>Outlier</v>
      </c>
    </row>
    <row r="1340" spans="1:23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  <c r="Q1340" t="str">
        <f>IF(COUNTIF($A$2:A1340,A1340)&gt;1,"Duplicate","Unique")</f>
        <v>Unique</v>
      </c>
      <c r="R1340" t="str">
        <f t="shared" si="120"/>
        <v>Valid</v>
      </c>
      <c r="S1340" t="str">
        <f t="shared" si="121"/>
        <v>Valid</v>
      </c>
      <c r="T1340" t="str">
        <f t="shared" si="122"/>
        <v>Valid</v>
      </c>
      <c r="U1340" t="str">
        <f t="shared" si="123"/>
        <v>Valid</v>
      </c>
      <c r="V1340" t="str">
        <f t="shared" si="124"/>
        <v>Valid</v>
      </c>
      <c r="W1340" t="str">
        <f t="shared" si="125"/>
        <v>Outlier</v>
      </c>
    </row>
    <row r="1341" spans="1:23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  <c r="Q1341" t="str">
        <f>IF(COUNTIF($A$2:A1341,A1341)&gt;1,"Duplicate","Unique")</f>
        <v>Unique</v>
      </c>
      <c r="R1341" t="str">
        <f t="shared" si="120"/>
        <v>Valid</v>
      </c>
      <c r="S1341" t="str">
        <f t="shared" si="121"/>
        <v>Valid</v>
      </c>
      <c r="T1341" t="str">
        <f t="shared" si="122"/>
        <v>Valid</v>
      </c>
      <c r="U1341" t="str">
        <f t="shared" si="123"/>
        <v>Valid</v>
      </c>
      <c r="V1341" t="str">
        <f t="shared" si="124"/>
        <v>Valid</v>
      </c>
      <c r="W1341" t="str">
        <f t="shared" si="125"/>
        <v>Outlier</v>
      </c>
    </row>
    <row r="1342" spans="1:23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  <c r="Q1342" t="str">
        <f>IF(COUNTIF($A$2:A1342,A1342)&gt;1,"Duplicate","Unique")</f>
        <v>Unique</v>
      </c>
      <c r="R1342" t="str">
        <f t="shared" si="120"/>
        <v>Valid</v>
      </c>
      <c r="S1342" t="str">
        <f t="shared" si="121"/>
        <v>Valid</v>
      </c>
      <c r="T1342" t="str">
        <f t="shared" si="122"/>
        <v>Valid</v>
      </c>
      <c r="U1342" t="str">
        <f t="shared" si="123"/>
        <v>Valid</v>
      </c>
      <c r="V1342" t="str">
        <f t="shared" si="124"/>
        <v>Valid</v>
      </c>
      <c r="W1342" t="str">
        <f t="shared" si="125"/>
        <v>Outlier</v>
      </c>
    </row>
    <row r="1343" spans="1:23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  <c r="Q1343" t="str">
        <f>IF(COUNTIF($A$2:A1343,A1343)&gt;1,"Duplicate","Unique")</f>
        <v>Unique</v>
      </c>
      <c r="R1343" t="str">
        <f t="shared" si="120"/>
        <v>Valid</v>
      </c>
      <c r="S1343" t="str">
        <f t="shared" si="121"/>
        <v>Valid</v>
      </c>
      <c r="T1343" t="str">
        <f t="shared" si="122"/>
        <v>Valid</v>
      </c>
      <c r="U1343" t="str">
        <f t="shared" si="123"/>
        <v>Valid</v>
      </c>
      <c r="V1343" t="str">
        <f t="shared" si="124"/>
        <v>Valid</v>
      </c>
      <c r="W1343" t="str">
        <f t="shared" si="125"/>
        <v>Outlier</v>
      </c>
    </row>
    <row r="1344" spans="1:23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  <c r="Q1344" t="str">
        <f>IF(COUNTIF($A$2:A1344,A1344)&gt;1,"Duplicate","Unique")</f>
        <v>Unique</v>
      </c>
      <c r="R1344" t="str">
        <f t="shared" si="120"/>
        <v>Valid</v>
      </c>
      <c r="S1344" t="str">
        <f t="shared" si="121"/>
        <v>Valid</v>
      </c>
      <c r="T1344" t="str">
        <f t="shared" si="122"/>
        <v>Valid</v>
      </c>
      <c r="U1344" t="str">
        <f t="shared" si="123"/>
        <v>Valid</v>
      </c>
      <c r="V1344" t="str">
        <f t="shared" si="124"/>
        <v>Valid</v>
      </c>
      <c r="W1344" t="str">
        <f t="shared" si="125"/>
        <v>Outlier</v>
      </c>
    </row>
    <row r="1345" spans="1:23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  <c r="Q1345" t="str">
        <f>IF(COUNTIF($A$2:A1345,A1345)&gt;1,"Duplicate","Unique")</f>
        <v>Unique</v>
      </c>
      <c r="R1345" t="str">
        <f t="shared" si="120"/>
        <v>Valid</v>
      </c>
      <c r="S1345" t="str">
        <f t="shared" si="121"/>
        <v>Valid</v>
      </c>
      <c r="T1345" t="str">
        <f t="shared" si="122"/>
        <v>Valid</v>
      </c>
      <c r="U1345" t="str">
        <f t="shared" si="123"/>
        <v>Valid</v>
      </c>
      <c r="V1345" t="str">
        <f t="shared" si="124"/>
        <v>Valid</v>
      </c>
      <c r="W1345" t="str">
        <f t="shared" si="125"/>
        <v>Outlier</v>
      </c>
    </row>
    <row r="1346" spans="1:23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  <c r="Q1346" t="str">
        <f>IF(COUNTIF($A$2:A1346,A1346)&gt;1,"Duplicate","Unique")</f>
        <v>Unique</v>
      </c>
      <c r="R1346" t="str">
        <f t="shared" si="120"/>
        <v>Valid</v>
      </c>
      <c r="S1346" t="str">
        <f t="shared" si="121"/>
        <v>Valid</v>
      </c>
      <c r="T1346" t="str">
        <f t="shared" si="122"/>
        <v>Valid</v>
      </c>
      <c r="U1346" t="str">
        <f t="shared" si="123"/>
        <v>Valid</v>
      </c>
      <c r="V1346" t="str">
        <f t="shared" si="124"/>
        <v>Valid</v>
      </c>
      <c r="W1346" t="str">
        <f t="shared" si="125"/>
        <v>Outlier</v>
      </c>
    </row>
    <row r="1347" spans="1:23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  <c r="Q1347" t="str">
        <f>IF(COUNTIF($A$2:A1347,A1347)&gt;1,"Duplicate","Unique")</f>
        <v>Unique</v>
      </c>
      <c r="R1347" t="str">
        <f t="shared" ref="R1347:R1409" si="126">IF(OR(H1347=0,H1347=1),"Valid","Invalid")</f>
        <v>Valid</v>
      </c>
      <c r="S1347" t="str">
        <f t="shared" ref="S1347:S1409" si="127">IF(OR(I1347=0,I1347=1),"Valid","Invalid")</f>
        <v>Valid</v>
      </c>
      <c r="T1347" t="str">
        <f t="shared" ref="T1347:T1409" si="128">IF(OR(J1347=0,J1347=1),"Valid","Invalid")</f>
        <v>Valid</v>
      </c>
      <c r="U1347" t="str">
        <f t="shared" ref="U1347:U1409" si="129">IF(OR(K1347=0,K1347=1),"Valid","Invalid")</f>
        <v>Valid</v>
      </c>
      <c r="V1347" t="str">
        <f t="shared" ref="V1347:V1409" si="130">IF(OR(N1347=0,N1347=1),"Valid","Invalid")</f>
        <v>Valid</v>
      </c>
      <c r="W1347" t="str">
        <f t="shared" ref="W1347:W1409" si="131">IF(OR(L1347&lt;$B$23,L1347&gt;$B$24),"Outlier","Normal")</f>
        <v>Outlier</v>
      </c>
    </row>
    <row r="1348" spans="1:23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  <c r="Q1348" t="str">
        <f>IF(COUNTIF($A$2:A1348,A1348)&gt;1,"Duplicate","Unique")</f>
        <v>Unique</v>
      </c>
      <c r="R1348" t="str">
        <f t="shared" si="126"/>
        <v>Valid</v>
      </c>
      <c r="S1348" t="str">
        <f t="shared" si="127"/>
        <v>Valid</v>
      </c>
      <c r="T1348" t="str">
        <f t="shared" si="128"/>
        <v>Valid</v>
      </c>
      <c r="U1348" t="str">
        <f t="shared" si="129"/>
        <v>Valid</v>
      </c>
      <c r="V1348" t="str">
        <f t="shared" si="130"/>
        <v>Valid</v>
      </c>
      <c r="W1348" t="str">
        <f t="shared" si="131"/>
        <v>Outlier</v>
      </c>
    </row>
    <row r="1349" spans="1:23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  <c r="Q1349" t="str">
        <f>IF(COUNTIF($A$2:A1349,A1349)&gt;1,"Duplicate","Unique")</f>
        <v>Unique</v>
      </c>
      <c r="R1349" t="str">
        <f t="shared" si="126"/>
        <v>Valid</v>
      </c>
      <c r="S1349" t="str">
        <f t="shared" si="127"/>
        <v>Valid</v>
      </c>
      <c r="T1349" t="str">
        <f t="shared" si="128"/>
        <v>Valid</v>
      </c>
      <c r="U1349" t="str">
        <f t="shared" si="129"/>
        <v>Valid</v>
      </c>
      <c r="V1349" t="str">
        <f t="shared" si="130"/>
        <v>Valid</v>
      </c>
      <c r="W1349" t="str">
        <f t="shared" si="131"/>
        <v>Outlier</v>
      </c>
    </row>
    <row r="1350" spans="1:23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  <c r="Q1350" t="str">
        <f>IF(COUNTIF($A$2:A1350,A1350)&gt;1,"Duplicate","Unique")</f>
        <v>Unique</v>
      </c>
      <c r="R1350" t="str">
        <f t="shared" si="126"/>
        <v>Valid</v>
      </c>
      <c r="S1350" t="str">
        <f t="shared" si="127"/>
        <v>Valid</v>
      </c>
      <c r="T1350" t="str">
        <f t="shared" si="128"/>
        <v>Valid</v>
      </c>
      <c r="U1350" t="str">
        <f t="shared" si="129"/>
        <v>Valid</v>
      </c>
      <c r="V1350" t="str">
        <f t="shared" si="130"/>
        <v>Valid</v>
      </c>
      <c r="W1350" t="str">
        <f t="shared" si="131"/>
        <v>Outlier</v>
      </c>
    </row>
    <row r="1351" spans="1:23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  <c r="Q1351" t="str">
        <f>IF(COUNTIF($A$2:A1351,A1351)&gt;1,"Duplicate","Unique")</f>
        <v>Unique</v>
      </c>
      <c r="R1351" t="str">
        <f t="shared" si="126"/>
        <v>Valid</v>
      </c>
      <c r="S1351" t="str">
        <f t="shared" si="127"/>
        <v>Valid</v>
      </c>
      <c r="T1351" t="str">
        <f t="shared" si="128"/>
        <v>Valid</v>
      </c>
      <c r="U1351" t="str">
        <f t="shared" si="129"/>
        <v>Valid</v>
      </c>
      <c r="V1351" t="str">
        <f t="shared" si="130"/>
        <v>Valid</v>
      </c>
      <c r="W1351" t="str">
        <f t="shared" si="131"/>
        <v>Outlier</v>
      </c>
    </row>
    <row r="1352" spans="1:23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  <c r="Q1352" t="str">
        <f>IF(COUNTIF($A$2:A1352,A1352)&gt;1,"Duplicate","Unique")</f>
        <v>Unique</v>
      </c>
      <c r="R1352" t="str">
        <f t="shared" si="126"/>
        <v>Valid</v>
      </c>
      <c r="S1352" t="str">
        <f t="shared" si="127"/>
        <v>Valid</v>
      </c>
      <c r="T1352" t="str">
        <f t="shared" si="128"/>
        <v>Valid</v>
      </c>
      <c r="U1352" t="str">
        <f t="shared" si="129"/>
        <v>Valid</v>
      </c>
      <c r="V1352" t="str">
        <f t="shared" si="130"/>
        <v>Valid</v>
      </c>
      <c r="W1352" t="str">
        <f t="shared" si="131"/>
        <v>Outlier</v>
      </c>
    </row>
    <row r="1353" spans="1:23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  <c r="Q1353" t="str">
        <f>IF(COUNTIF($A$2:A1353,A1353)&gt;1,"Duplicate","Unique")</f>
        <v>Unique</v>
      </c>
      <c r="R1353" t="str">
        <f t="shared" si="126"/>
        <v>Valid</v>
      </c>
      <c r="S1353" t="str">
        <f t="shared" si="127"/>
        <v>Valid</v>
      </c>
      <c r="T1353" t="str">
        <f t="shared" si="128"/>
        <v>Valid</v>
      </c>
      <c r="U1353" t="str">
        <f t="shared" si="129"/>
        <v>Valid</v>
      </c>
      <c r="V1353" t="str">
        <f t="shared" si="130"/>
        <v>Valid</v>
      </c>
      <c r="W1353" t="str">
        <f t="shared" si="131"/>
        <v>Outlier</v>
      </c>
    </row>
    <row r="1354" spans="1:23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  <c r="Q1354" t="str">
        <f>IF(COUNTIF($A$2:A1354,A1354)&gt;1,"Duplicate","Unique")</f>
        <v>Unique</v>
      </c>
      <c r="R1354" t="str">
        <f t="shared" si="126"/>
        <v>Valid</v>
      </c>
      <c r="S1354" t="str">
        <f t="shared" si="127"/>
        <v>Valid</v>
      </c>
      <c r="T1354" t="str">
        <f t="shared" si="128"/>
        <v>Valid</v>
      </c>
      <c r="U1354" t="str">
        <f t="shared" si="129"/>
        <v>Valid</v>
      </c>
      <c r="V1354" t="str">
        <f t="shared" si="130"/>
        <v>Valid</v>
      </c>
      <c r="W1354" t="str">
        <f t="shared" si="131"/>
        <v>Outlier</v>
      </c>
    </row>
    <row r="1355" spans="1:23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  <c r="Q1355" t="str">
        <f>IF(COUNTIF($A$2:A1355,A1355)&gt;1,"Duplicate","Unique")</f>
        <v>Unique</v>
      </c>
      <c r="R1355" t="str">
        <f t="shared" si="126"/>
        <v>Valid</v>
      </c>
      <c r="S1355" t="str">
        <f t="shared" si="127"/>
        <v>Valid</v>
      </c>
      <c r="T1355" t="str">
        <f t="shared" si="128"/>
        <v>Valid</v>
      </c>
      <c r="U1355" t="str">
        <f t="shared" si="129"/>
        <v>Valid</v>
      </c>
      <c r="V1355" t="str">
        <f t="shared" si="130"/>
        <v>Valid</v>
      </c>
      <c r="W1355" t="str">
        <f t="shared" si="131"/>
        <v>Outlier</v>
      </c>
    </row>
    <row r="1356" spans="1:23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  <c r="Q1356" t="str">
        <f>IF(COUNTIF($A$2:A1356,A1356)&gt;1,"Duplicate","Unique")</f>
        <v>Unique</v>
      </c>
      <c r="R1356" t="str">
        <f t="shared" si="126"/>
        <v>Valid</v>
      </c>
      <c r="S1356" t="str">
        <f t="shared" si="127"/>
        <v>Valid</v>
      </c>
      <c r="T1356" t="str">
        <f t="shared" si="128"/>
        <v>Valid</v>
      </c>
      <c r="U1356" t="str">
        <f t="shared" si="129"/>
        <v>Valid</v>
      </c>
      <c r="V1356" t="str">
        <f t="shared" si="130"/>
        <v>Valid</v>
      </c>
      <c r="W1356" t="str">
        <f t="shared" si="131"/>
        <v>Outlier</v>
      </c>
    </row>
    <row r="1357" spans="1:23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  <c r="Q1357" t="str">
        <f>IF(COUNTIF($A$2:A1357,A1357)&gt;1,"Duplicate","Unique")</f>
        <v>Unique</v>
      </c>
      <c r="R1357" t="str">
        <f t="shared" si="126"/>
        <v>Valid</v>
      </c>
      <c r="S1357" t="str">
        <f t="shared" si="127"/>
        <v>Valid</v>
      </c>
      <c r="T1357" t="str">
        <f t="shared" si="128"/>
        <v>Valid</v>
      </c>
      <c r="U1357" t="str">
        <f t="shared" si="129"/>
        <v>Valid</v>
      </c>
      <c r="V1357" t="str">
        <f t="shared" si="130"/>
        <v>Valid</v>
      </c>
      <c r="W1357" t="str">
        <f t="shared" si="131"/>
        <v>Outlier</v>
      </c>
    </row>
    <row r="1358" spans="1:23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  <c r="Q1358" t="str">
        <f>IF(COUNTIF($A$2:A1358,A1358)&gt;1,"Duplicate","Unique")</f>
        <v>Unique</v>
      </c>
      <c r="R1358" t="str">
        <f t="shared" si="126"/>
        <v>Valid</v>
      </c>
      <c r="S1358" t="str">
        <f t="shared" si="127"/>
        <v>Valid</v>
      </c>
      <c r="T1358" t="str">
        <f t="shared" si="128"/>
        <v>Valid</v>
      </c>
      <c r="U1358" t="str">
        <f t="shared" si="129"/>
        <v>Valid</v>
      </c>
      <c r="V1358" t="str">
        <f t="shared" si="130"/>
        <v>Valid</v>
      </c>
      <c r="W1358" t="str">
        <f t="shared" si="131"/>
        <v>Outlier</v>
      </c>
    </row>
    <row r="1359" spans="1:23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  <c r="Q1359" t="str">
        <f>IF(COUNTIF($A$2:A1359,A1359)&gt;1,"Duplicate","Unique")</f>
        <v>Unique</v>
      </c>
      <c r="R1359" t="str">
        <f t="shared" si="126"/>
        <v>Valid</v>
      </c>
      <c r="S1359" t="str">
        <f t="shared" si="127"/>
        <v>Valid</v>
      </c>
      <c r="T1359" t="str">
        <f t="shared" si="128"/>
        <v>Valid</v>
      </c>
      <c r="U1359" t="str">
        <f t="shared" si="129"/>
        <v>Valid</v>
      </c>
      <c r="V1359" t="str">
        <f t="shared" si="130"/>
        <v>Valid</v>
      </c>
      <c r="W1359" t="str">
        <f t="shared" si="131"/>
        <v>Outlier</v>
      </c>
    </row>
    <row r="1360" spans="1:23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  <c r="Q1360" t="str">
        <f>IF(COUNTIF($A$2:A1360,A1360)&gt;1,"Duplicate","Unique")</f>
        <v>Unique</v>
      </c>
      <c r="R1360" t="str">
        <f t="shared" si="126"/>
        <v>Valid</v>
      </c>
      <c r="S1360" t="str">
        <f t="shared" si="127"/>
        <v>Valid</v>
      </c>
      <c r="T1360" t="str">
        <f t="shared" si="128"/>
        <v>Valid</v>
      </c>
      <c r="U1360" t="str">
        <f t="shared" si="129"/>
        <v>Valid</v>
      </c>
      <c r="V1360" t="str">
        <f t="shared" si="130"/>
        <v>Valid</v>
      </c>
      <c r="W1360" t="str">
        <f t="shared" si="131"/>
        <v>Outlier</v>
      </c>
    </row>
    <row r="1361" spans="1:23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  <c r="Q1361" t="str">
        <f>IF(COUNTIF($A$2:A1361,A1361)&gt;1,"Duplicate","Unique")</f>
        <v>Unique</v>
      </c>
      <c r="R1361" t="str">
        <f t="shared" si="126"/>
        <v>Valid</v>
      </c>
      <c r="S1361" t="str">
        <f t="shared" si="127"/>
        <v>Valid</v>
      </c>
      <c r="T1361" t="str">
        <f t="shared" si="128"/>
        <v>Valid</v>
      </c>
      <c r="U1361" t="str">
        <f t="shared" si="129"/>
        <v>Valid</v>
      </c>
      <c r="V1361" t="str">
        <f t="shared" si="130"/>
        <v>Valid</v>
      </c>
      <c r="W1361" t="str">
        <f t="shared" si="131"/>
        <v>Outlier</v>
      </c>
    </row>
    <row r="1362" spans="1:23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  <c r="Q1362" t="str">
        <f>IF(COUNTIF($A$2:A1362,A1362)&gt;1,"Duplicate","Unique")</f>
        <v>Unique</v>
      </c>
      <c r="R1362" t="str">
        <f t="shared" si="126"/>
        <v>Valid</v>
      </c>
      <c r="S1362" t="str">
        <f t="shared" si="127"/>
        <v>Valid</v>
      </c>
      <c r="T1362" t="str">
        <f t="shared" si="128"/>
        <v>Valid</v>
      </c>
      <c r="U1362" t="str">
        <f t="shared" si="129"/>
        <v>Valid</v>
      </c>
      <c r="V1362" t="str">
        <f t="shared" si="130"/>
        <v>Valid</v>
      </c>
      <c r="W1362" t="str">
        <f t="shared" si="131"/>
        <v>Outlier</v>
      </c>
    </row>
    <row r="1363" spans="1:23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  <c r="Q1363" t="str">
        <f>IF(COUNTIF($A$2:A1363,A1363)&gt;1,"Duplicate","Unique")</f>
        <v>Unique</v>
      </c>
      <c r="R1363" t="str">
        <f t="shared" si="126"/>
        <v>Valid</v>
      </c>
      <c r="S1363" t="str">
        <f t="shared" si="127"/>
        <v>Valid</v>
      </c>
      <c r="T1363" t="str">
        <f t="shared" si="128"/>
        <v>Valid</v>
      </c>
      <c r="U1363" t="str">
        <f t="shared" si="129"/>
        <v>Valid</v>
      </c>
      <c r="V1363" t="str">
        <f t="shared" si="130"/>
        <v>Valid</v>
      </c>
      <c r="W1363" t="str">
        <f t="shared" si="131"/>
        <v>Outlier</v>
      </c>
    </row>
    <row r="1364" spans="1:23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  <c r="Q1364" t="str">
        <f>IF(COUNTIF($A$2:A1364,A1364)&gt;1,"Duplicate","Unique")</f>
        <v>Unique</v>
      </c>
      <c r="R1364" t="str">
        <f t="shared" si="126"/>
        <v>Valid</v>
      </c>
      <c r="S1364" t="str">
        <f t="shared" si="127"/>
        <v>Valid</v>
      </c>
      <c r="T1364" t="str">
        <f t="shared" si="128"/>
        <v>Valid</v>
      </c>
      <c r="U1364" t="str">
        <f t="shared" si="129"/>
        <v>Valid</v>
      </c>
      <c r="V1364" t="str">
        <f t="shared" si="130"/>
        <v>Valid</v>
      </c>
      <c r="W1364" t="str">
        <f t="shared" si="131"/>
        <v>Outlier</v>
      </c>
    </row>
    <row r="1365" spans="1:23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  <c r="Q1365" t="str">
        <f>IF(COUNTIF($A$2:A1365,A1365)&gt;1,"Duplicate","Unique")</f>
        <v>Unique</v>
      </c>
      <c r="R1365" t="str">
        <f t="shared" si="126"/>
        <v>Valid</v>
      </c>
      <c r="S1365" t="str">
        <f t="shared" si="127"/>
        <v>Valid</v>
      </c>
      <c r="T1365" t="str">
        <f t="shared" si="128"/>
        <v>Valid</v>
      </c>
      <c r="U1365" t="str">
        <f t="shared" si="129"/>
        <v>Valid</v>
      </c>
      <c r="V1365" t="str">
        <f t="shared" si="130"/>
        <v>Valid</v>
      </c>
      <c r="W1365" t="str">
        <f t="shared" si="131"/>
        <v>Outlier</v>
      </c>
    </row>
    <row r="1366" spans="1:23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  <c r="Q1366" t="str">
        <f>IF(COUNTIF($A$2:A1366,A1366)&gt;1,"Duplicate","Unique")</f>
        <v>Unique</v>
      </c>
      <c r="R1366" t="str">
        <f t="shared" si="126"/>
        <v>Valid</v>
      </c>
      <c r="S1366" t="str">
        <f t="shared" si="127"/>
        <v>Valid</v>
      </c>
      <c r="T1366" t="str">
        <f t="shared" si="128"/>
        <v>Valid</v>
      </c>
      <c r="U1366" t="str">
        <f t="shared" si="129"/>
        <v>Valid</v>
      </c>
      <c r="V1366" t="str">
        <f t="shared" si="130"/>
        <v>Valid</v>
      </c>
      <c r="W1366" t="str">
        <f t="shared" si="131"/>
        <v>Outlier</v>
      </c>
    </row>
    <row r="1367" spans="1:23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  <c r="Q1367" t="str">
        <f>IF(COUNTIF($A$2:A1367,A1367)&gt;1,"Duplicate","Unique")</f>
        <v>Unique</v>
      </c>
      <c r="R1367" t="str">
        <f t="shared" si="126"/>
        <v>Valid</v>
      </c>
      <c r="S1367" t="str">
        <f t="shared" si="127"/>
        <v>Valid</v>
      </c>
      <c r="T1367" t="str">
        <f t="shared" si="128"/>
        <v>Valid</v>
      </c>
      <c r="U1367" t="str">
        <f t="shared" si="129"/>
        <v>Valid</v>
      </c>
      <c r="V1367" t="str">
        <f t="shared" si="130"/>
        <v>Valid</v>
      </c>
      <c r="W1367" t="str">
        <f t="shared" si="131"/>
        <v>Outlier</v>
      </c>
    </row>
    <row r="1368" spans="1:23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  <c r="Q1368" t="str">
        <f>IF(COUNTIF($A$2:A1368,A1368)&gt;1,"Duplicate","Unique")</f>
        <v>Unique</v>
      </c>
      <c r="R1368" t="str">
        <f t="shared" si="126"/>
        <v>Valid</v>
      </c>
      <c r="S1368" t="str">
        <f t="shared" si="127"/>
        <v>Valid</v>
      </c>
      <c r="T1368" t="str">
        <f t="shared" si="128"/>
        <v>Valid</v>
      </c>
      <c r="U1368" t="str">
        <f t="shared" si="129"/>
        <v>Valid</v>
      </c>
      <c r="V1368" t="str">
        <f t="shared" si="130"/>
        <v>Valid</v>
      </c>
      <c r="W1368" t="str">
        <f t="shared" si="131"/>
        <v>Outlier</v>
      </c>
    </row>
    <row r="1369" spans="1:23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  <c r="Q1369" t="str">
        <f>IF(COUNTIF($A$2:A1369,A1369)&gt;1,"Duplicate","Unique")</f>
        <v>Unique</v>
      </c>
      <c r="R1369" t="str">
        <f t="shared" si="126"/>
        <v>Valid</v>
      </c>
      <c r="S1369" t="str">
        <f t="shared" si="127"/>
        <v>Valid</v>
      </c>
      <c r="T1369" t="str">
        <f t="shared" si="128"/>
        <v>Valid</v>
      </c>
      <c r="U1369" t="str">
        <f t="shared" si="129"/>
        <v>Valid</v>
      </c>
      <c r="V1369" t="str">
        <f t="shared" si="130"/>
        <v>Valid</v>
      </c>
      <c r="W1369" t="str">
        <f t="shared" si="131"/>
        <v>Outlier</v>
      </c>
    </row>
    <row r="1370" spans="1:23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  <c r="Q1370" t="str">
        <f>IF(COUNTIF($A$2:A1370,A1370)&gt;1,"Duplicate","Unique")</f>
        <v>Unique</v>
      </c>
      <c r="R1370" t="str">
        <f t="shared" si="126"/>
        <v>Valid</v>
      </c>
      <c r="S1370" t="str">
        <f t="shared" si="127"/>
        <v>Valid</v>
      </c>
      <c r="T1370" t="str">
        <f t="shared" si="128"/>
        <v>Valid</v>
      </c>
      <c r="U1370" t="str">
        <f t="shared" si="129"/>
        <v>Valid</v>
      </c>
      <c r="V1370" t="str">
        <f t="shared" si="130"/>
        <v>Valid</v>
      </c>
      <c r="W1370" t="str">
        <f t="shared" si="131"/>
        <v>Outlier</v>
      </c>
    </row>
    <row r="1371" spans="1:23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  <c r="Q1371" t="str">
        <f>IF(COUNTIF($A$2:A1371,A1371)&gt;1,"Duplicate","Unique")</f>
        <v>Unique</v>
      </c>
      <c r="R1371" t="str">
        <f t="shared" si="126"/>
        <v>Valid</v>
      </c>
      <c r="S1371" t="str">
        <f t="shared" si="127"/>
        <v>Valid</v>
      </c>
      <c r="T1371" t="str">
        <f t="shared" si="128"/>
        <v>Valid</v>
      </c>
      <c r="U1371" t="str">
        <f t="shared" si="129"/>
        <v>Valid</v>
      </c>
      <c r="V1371" t="str">
        <f t="shared" si="130"/>
        <v>Valid</v>
      </c>
      <c r="W1371" t="str">
        <f t="shared" si="131"/>
        <v>Outlier</v>
      </c>
    </row>
    <row r="1372" spans="1:23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  <c r="Q1372" t="str">
        <f>IF(COUNTIF($A$2:A1372,A1372)&gt;1,"Duplicate","Unique")</f>
        <v>Unique</v>
      </c>
      <c r="R1372" t="str">
        <f t="shared" si="126"/>
        <v>Valid</v>
      </c>
      <c r="S1372" t="str">
        <f t="shared" si="127"/>
        <v>Valid</v>
      </c>
      <c r="T1372" t="str">
        <f t="shared" si="128"/>
        <v>Valid</v>
      </c>
      <c r="U1372" t="str">
        <f t="shared" si="129"/>
        <v>Valid</v>
      </c>
      <c r="V1372" t="str">
        <f t="shared" si="130"/>
        <v>Valid</v>
      </c>
      <c r="W1372" t="str">
        <f t="shared" si="131"/>
        <v>Outlier</v>
      </c>
    </row>
    <row r="1373" spans="1:23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  <c r="Q1373" t="str">
        <f>IF(COUNTIF($A$2:A1373,A1373)&gt;1,"Duplicate","Unique")</f>
        <v>Unique</v>
      </c>
      <c r="R1373" t="str">
        <f t="shared" si="126"/>
        <v>Valid</v>
      </c>
      <c r="S1373" t="str">
        <f t="shared" si="127"/>
        <v>Valid</v>
      </c>
      <c r="T1373" t="str">
        <f t="shared" si="128"/>
        <v>Valid</v>
      </c>
      <c r="U1373" t="str">
        <f t="shared" si="129"/>
        <v>Valid</v>
      </c>
      <c r="V1373" t="str">
        <f t="shared" si="130"/>
        <v>Valid</v>
      </c>
      <c r="W1373" t="str">
        <f t="shared" si="131"/>
        <v>Outlier</v>
      </c>
    </row>
    <row r="1374" spans="1:23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  <c r="Q1374" t="str">
        <f>IF(COUNTIF($A$2:A1374,A1374)&gt;1,"Duplicate","Unique")</f>
        <v>Unique</v>
      </c>
      <c r="R1374" t="str">
        <f t="shared" si="126"/>
        <v>Valid</v>
      </c>
      <c r="S1374" t="str">
        <f t="shared" si="127"/>
        <v>Valid</v>
      </c>
      <c r="T1374" t="str">
        <f t="shared" si="128"/>
        <v>Valid</v>
      </c>
      <c r="U1374" t="str">
        <f t="shared" si="129"/>
        <v>Valid</v>
      </c>
      <c r="V1374" t="str">
        <f t="shared" si="130"/>
        <v>Valid</v>
      </c>
      <c r="W1374" t="str">
        <f t="shared" si="131"/>
        <v>Outlier</v>
      </c>
    </row>
    <row r="1375" spans="1:23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  <c r="Q1375" t="str">
        <f>IF(COUNTIF($A$2:A1375,A1375)&gt;1,"Duplicate","Unique")</f>
        <v>Unique</v>
      </c>
      <c r="R1375" t="str">
        <f t="shared" si="126"/>
        <v>Valid</v>
      </c>
      <c r="S1375" t="str">
        <f t="shared" si="127"/>
        <v>Valid</v>
      </c>
      <c r="T1375" t="str">
        <f t="shared" si="128"/>
        <v>Valid</v>
      </c>
      <c r="U1375" t="str">
        <f t="shared" si="129"/>
        <v>Valid</v>
      </c>
      <c r="V1375" t="str">
        <f t="shared" si="130"/>
        <v>Valid</v>
      </c>
      <c r="W1375" t="str">
        <f t="shared" si="131"/>
        <v>Outlier</v>
      </c>
    </row>
    <row r="1376" spans="1:23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  <c r="Q1376" t="str">
        <f>IF(COUNTIF($A$2:A1376,A1376)&gt;1,"Duplicate","Unique")</f>
        <v>Unique</v>
      </c>
      <c r="R1376" t="str">
        <f t="shared" si="126"/>
        <v>Valid</v>
      </c>
      <c r="S1376" t="str">
        <f t="shared" si="127"/>
        <v>Valid</v>
      </c>
      <c r="T1376" t="str">
        <f t="shared" si="128"/>
        <v>Valid</v>
      </c>
      <c r="U1376" t="str">
        <f t="shared" si="129"/>
        <v>Valid</v>
      </c>
      <c r="V1376" t="str">
        <f t="shared" si="130"/>
        <v>Valid</v>
      </c>
      <c r="W1376" t="str">
        <f t="shared" si="131"/>
        <v>Outlier</v>
      </c>
    </row>
    <row r="1377" spans="1:23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  <c r="Q1377" t="str">
        <f>IF(COUNTIF($A$2:A1377,A1377)&gt;1,"Duplicate","Unique")</f>
        <v>Unique</v>
      </c>
      <c r="R1377" t="str">
        <f t="shared" si="126"/>
        <v>Valid</v>
      </c>
      <c r="S1377" t="str">
        <f t="shared" si="127"/>
        <v>Valid</v>
      </c>
      <c r="T1377" t="str">
        <f t="shared" si="128"/>
        <v>Valid</v>
      </c>
      <c r="U1377" t="str">
        <f t="shared" si="129"/>
        <v>Valid</v>
      </c>
      <c r="V1377" t="str">
        <f t="shared" si="130"/>
        <v>Valid</v>
      </c>
      <c r="W1377" t="str">
        <f t="shared" si="131"/>
        <v>Outlier</v>
      </c>
    </row>
    <row r="1378" spans="1:23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  <c r="Q1378" t="str">
        <f>IF(COUNTIF($A$2:A1378,A1378)&gt;1,"Duplicate","Unique")</f>
        <v>Unique</v>
      </c>
      <c r="R1378" t="str">
        <f t="shared" si="126"/>
        <v>Valid</v>
      </c>
      <c r="S1378" t="str">
        <f t="shared" si="127"/>
        <v>Valid</v>
      </c>
      <c r="T1378" t="str">
        <f t="shared" si="128"/>
        <v>Valid</v>
      </c>
      <c r="U1378" t="str">
        <f t="shared" si="129"/>
        <v>Valid</v>
      </c>
      <c r="V1378" t="str">
        <f t="shared" si="130"/>
        <v>Valid</v>
      </c>
      <c r="W1378" t="str">
        <f t="shared" si="131"/>
        <v>Outlier</v>
      </c>
    </row>
    <row r="1379" spans="1:23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  <c r="Q1379" t="str">
        <f>IF(COUNTIF($A$2:A1379,A1379)&gt;1,"Duplicate","Unique")</f>
        <v>Unique</v>
      </c>
      <c r="R1379" t="str">
        <f t="shared" si="126"/>
        <v>Valid</v>
      </c>
      <c r="S1379" t="str">
        <f t="shared" si="127"/>
        <v>Valid</v>
      </c>
      <c r="T1379" t="str">
        <f t="shared" si="128"/>
        <v>Valid</v>
      </c>
      <c r="U1379" t="str">
        <f t="shared" si="129"/>
        <v>Valid</v>
      </c>
      <c r="V1379" t="str">
        <f t="shared" si="130"/>
        <v>Valid</v>
      </c>
      <c r="W1379" t="str">
        <f t="shared" si="131"/>
        <v>Outlier</v>
      </c>
    </row>
    <row r="1380" spans="1:23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  <c r="Q1380" t="str">
        <f>IF(COUNTIF($A$2:A1380,A1380)&gt;1,"Duplicate","Unique")</f>
        <v>Unique</v>
      </c>
      <c r="R1380" t="str">
        <f t="shared" si="126"/>
        <v>Valid</v>
      </c>
      <c r="S1380" t="str">
        <f t="shared" si="127"/>
        <v>Valid</v>
      </c>
      <c r="T1380" t="str">
        <f t="shared" si="128"/>
        <v>Valid</v>
      </c>
      <c r="U1380" t="str">
        <f t="shared" si="129"/>
        <v>Valid</v>
      </c>
      <c r="V1380" t="str">
        <f t="shared" si="130"/>
        <v>Valid</v>
      </c>
      <c r="W1380" t="str">
        <f t="shared" si="131"/>
        <v>Outlier</v>
      </c>
    </row>
    <row r="1381" spans="1:23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  <c r="Q1381" t="str">
        <f>IF(COUNTIF($A$2:A1381,A1381)&gt;1,"Duplicate","Unique")</f>
        <v>Unique</v>
      </c>
      <c r="R1381" t="str">
        <f t="shared" si="126"/>
        <v>Valid</v>
      </c>
      <c r="S1381" t="str">
        <f t="shared" si="127"/>
        <v>Valid</v>
      </c>
      <c r="T1381" t="str">
        <f t="shared" si="128"/>
        <v>Valid</v>
      </c>
      <c r="U1381" t="str">
        <f t="shared" si="129"/>
        <v>Valid</v>
      </c>
      <c r="V1381" t="str">
        <f t="shared" si="130"/>
        <v>Valid</v>
      </c>
      <c r="W1381" t="str">
        <f t="shared" si="131"/>
        <v>Outlier</v>
      </c>
    </row>
    <row r="1382" spans="1:23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  <c r="Q1382" t="str">
        <f>IF(COUNTIF($A$2:A1382,A1382)&gt;1,"Duplicate","Unique")</f>
        <v>Unique</v>
      </c>
      <c r="R1382" t="str">
        <f t="shared" si="126"/>
        <v>Valid</v>
      </c>
      <c r="S1382" t="str">
        <f t="shared" si="127"/>
        <v>Valid</v>
      </c>
      <c r="T1382" t="str">
        <f t="shared" si="128"/>
        <v>Valid</v>
      </c>
      <c r="U1382" t="str">
        <f t="shared" si="129"/>
        <v>Valid</v>
      </c>
      <c r="V1382" t="str">
        <f t="shared" si="130"/>
        <v>Valid</v>
      </c>
      <c r="W1382" t="str">
        <f t="shared" si="131"/>
        <v>Outlier</v>
      </c>
    </row>
    <row r="1383" spans="1:23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  <c r="Q1383" t="str">
        <f>IF(COUNTIF($A$2:A1383,A1383)&gt;1,"Duplicate","Unique")</f>
        <v>Unique</v>
      </c>
      <c r="R1383" t="str">
        <f t="shared" si="126"/>
        <v>Valid</v>
      </c>
      <c r="S1383" t="str">
        <f t="shared" si="127"/>
        <v>Valid</v>
      </c>
      <c r="T1383" t="str">
        <f t="shared" si="128"/>
        <v>Valid</v>
      </c>
      <c r="U1383" t="str">
        <f t="shared" si="129"/>
        <v>Valid</v>
      </c>
      <c r="V1383" t="str">
        <f t="shared" si="130"/>
        <v>Valid</v>
      </c>
      <c r="W1383" t="str">
        <f t="shared" si="131"/>
        <v>Outlier</v>
      </c>
    </row>
    <row r="1384" spans="1:23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  <c r="Q1384" t="str">
        <f>IF(COUNTIF($A$2:A1384,A1384)&gt;1,"Duplicate","Unique")</f>
        <v>Unique</v>
      </c>
      <c r="R1384" t="str">
        <f t="shared" si="126"/>
        <v>Valid</v>
      </c>
      <c r="S1384" t="str">
        <f t="shared" si="127"/>
        <v>Valid</v>
      </c>
      <c r="T1384" t="str">
        <f t="shared" si="128"/>
        <v>Valid</v>
      </c>
      <c r="U1384" t="str">
        <f t="shared" si="129"/>
        <v>Valid</v>
      </c>
      <c r="V1384" t="str">
        <f t="shared" si="130"/>
        <v>Valid</v>
      </c>
      <c r="W1384" t="str">
        <f t="shared" si="131"/>
        <v>Outlier</v>
      </c>
    </row>
    <row r="1385" spans="1:23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  <c r="Q1385" t="str">
        <f>IF(COUNTIF($A$2:A1385,A1385)&gt;1,"Duplicate","Unique")</f>
        <v>Unique</v>
      </c>
      <c r="R1385" t="str">
        <f t="shared" si="126"/>
        <v>Valid</v>
      </c>
      <c r="S1385" t="str">
        <f t="shared" si="127"/>
        <v>Valid</v>
      </c>
      <c r="T1385" t="str">
        <f t="shared" si="128"/>
        <v>Valid</v>
      </c>
      <c r="U1385" t="str">
        <f t="shared" si="129"/>
        <v>Valid</v>
      </c>
      <c r="V1385" t="str">
        <f t="shared" si="130"/>
        <v>Valid</v>
      </c>
      <c r="W1385" t="str">
        <f t="shared" si="131"/>
        <v>Outlier</v>
      </c>
    </row>
    <row r="1386" spans="1:23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  <c r="Q1386" t="str">
        <f>IF(COUNTIF($A$2:A1386,A1386)&gt;1,"Duplicate","Unique")</f>
        <v>Unique</v>
      </c>
      <c r="R1386" t="str">
        <f t="shared" si="126"/>
        <v>Valid</v>
      </c>
      <c r="S1386" t="str">
        <f t="shared" si="127"/>
        <v>Valid</v>
      </c>
      <c r="T1386" t="str">
        <f t="shared" si="128"/>
        <v>Valid</v>
      </c>
      <c r="U1386" t="str">
        <f t="shared" si="129"/>
        <v>Valid</v>
      </c>
      <c r="V1386" t="str">
        <f t="shared" si="130"/>
        <v>Valid</v>
      </c>
      <c r="W1386" t="str">
        <f t="shared" si="131"/>
        <v>Outlier</v>
      </c>
    </row>
    <row r="1387" spans="1:23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  <c r="Q1387" t="str">
        <f>IF(COUNTIF($A$2:A1387,A1387)&gt;1,"Duplicate","Unique")</f>
        <v>Unique</v>
      </c>
      <c r="R1387" t="str">
        <f t="shared" si="126"/>
        <v>Valid</v>
      </c>
      <c r="S1387" t="str">
        <f t="shared" si="127"/>
        <v>Valid</v>
      </c>
      <c r="T1387" t="str">
        <f t="shared" si="128"/>
        <v>Valid</v>
      </c>
      <c r="U1387" t="str">
        <f t="shared" si="129"/>
        <v>Valid</v>
      </c>
      <c r="V1387" t="str">
        <f t="shared" si="130"/>
        <v>Valid</v>
      </c>
      <c r="W1387" t="str">
        <f t="shared" si="131"/>
        <v>Outlier</v>
      </c>
    </row>
    <row r="1388" spans="1:23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  <c r="Q1388" t="str">
        <f>IF(COUNTIF($A$2:A1388,A1388)&gt;1,"Duplicate","Unique")</f>
        <v>Unique</v>
      </c>
      <c r="R1388" t="str">
        <f t="shared" si="126"/>
        <v>Valid</v>
      </c>
      <c r="S1388" t="str">
        <f t="shared" si="127"/>
        <v>Valid</v>
      </c>
      <c r="T1388" t="str">
        <f t="shared" si="128"/>
        <v>Valid</v>
      </c>
      <c r="U1388" t="str">
        <f t="shared" si="129"/>
        <v>Valid</v>
      </c>
      <c r="V1388" t="str">
        <f t="shared" si="130"/>
        <v>Valid</v>
      </c>
      <c r="W1388" t="str">
        <f t="shared" si="131"/>
        <v>Outlier</v>
      </c>
    </row>
    <row r="1389" spans="1:23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  <c r="Q1389" t="str">
        <f>IF(COUNTIF($A$2:A1389,A1389)&gt;1,"Duplicate","Unique")</f>
        <v>Unique</v>
      </c>
      <c r="R1389" t="str">
        <f t="shared" si="126"/>
        <v>Valid</v>
      </c>
      <c r="S1389" t="str">
        <f t="shared" si="127"/>
        <v>Valid</v>
      </c>
      <c r="T1389" t="str">
        <f t="shared" si="128"/>
        <v>Valid</v>
      </c>
      <c r="U1389" t="str">
        <f t="shared" si="129"/>
        <v>Valid</v>
      </c>
      <c r="V1389" t="str">
        <f t="shared" si="130"/>
        <v>Valid</v>
      </c>
      <c r="W1389" t="str">
        <f t="shared" si="131"/>
        <v>Outlier</v>
      </c>
    </row>
    <row r="1390" spans="1:23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  <c r="Q1390" t="str">
        <f>IF(COUNTIF($A$2:A1390,A1390)&gt;1,"Duplicate","Unique")</f>
        <v>Unique</v>
      </c>
      <c r="R1390" t="str">
        <f t="shared" si="126"/>
        <v>Valid</v>
      </c>
      <c r="S1390" t="str">
        <f t="shared" si="127"/>
        <v>Valid</v>
      </c>
      <c r="T1390" t="str">
        <f t="shared" si="128"/>
        <v>Valid</v>
      </c>
      <c r="U1390" t="str">
        <f t="shared" si="129"/>
        <v>Valid</v>
      </c>
      <c r="V1390" t="str">
        <f t="shared" si="130"/>
        <v>Valid</v>
      </c>
      <c r="W1390" t="str">
        <f t="shared" si="131"/>
        <v>Outlier</v>
      </c>
    </row>
    <row r="1391" spans="1:23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  <c r="Q1391" t="str">
        <f>IF(COUNTIF($A$2:A1391,A1391)&gt;1,"Duplicate","Unique")</f>
        <v>Unique</v>
      </c>
      <c r="R1391" t="str">
        <f t="shared" si="126"/>
        <v>Valid</v>
      </c>
      <c r="S1391" t="str">
        <f t="shared" si="127"/>
        <v>Valid</v>
      </c>
      <c r="T1391" t="str">
        <f t="shared" si="128"/>
        <v>Valid</v>
      </c>
      <c r="U1391" t="str">
        <f t="shared" si="129"/>
        <v>Valid</v>
      </c>
      <c r="V1391" t="str">
        <f t="shared" si="130"/>
        <v>Valid</v>
      </c>
      <c r="W1391" t="str">
        <f t="shared" si="131"/>
        <v>Outlier</v>
      </c>
    </row>
    <row r="1392" spans="1:23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  <c r="Q1392" t="str">
        <f>IF(COUNTIF($A$2:A1392,A1392)&gt;1,"Duplicate","Unique")</f>
        <v>Unique</v>
      </c>
      <c r="R1392" t="str">
        <f t="shared" si="126"/>
        <v>Valid</v>
      </c>
      <c r="S1392" t="str">
        <f t="shared" si="127"/>
        <v>Valid</v>
      </c>
      <c r="T1392" t="str">
        <f t="shared" si="128"/>
        <v>Valid</v>
      </c>
      <c r="U1392" t="str">
        <f t="shared" si="129"/>
        <v>Valid</v>
      </c>
      <c r="V1392" t="str">
        <f t="shared" si="130"/>
        <v>Valid</v>
      </c>
      <c r="W1392" t="str">
        <f t="shared" si="131"/>
        <v>Outlier</v>
      </c>
    </row>
    <row r="1393" spans="1:23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  <c r="Q1393" t="str">
        <f>IF(COUNTIF($A$2:A1393,A1393)&gt;1,"Duplicate","Unique")</f>
        <v>Unique</v>
      </c>
      <c r="R1393" t="str">
        <f t="shared" si="126"/>
        <v>Valid</v>
      </c>
      <c r="S1393" t="str">
        <f t="shared" si="127"/>
        <v>Valid</v>
      </c>
      <c r="T1393" t="str">
        <f t="shared" si="128"/>
        <v>Valid</v>
      </c>
      <c r="U1393" t="str">
        <f t="shared" si="129"/>
        <v>Valid</v>
      </c>
      <c r="V1393" t="str">
        <f t="shared" si="130"/>
        <v>Valid</v>
      </c>
      <c r="W1393" t="str">
        <f t="shared" si="131"/>
        <v>Outlier</v>
      </c>
    </row>
    <row r="1394" spans="1:23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  <c r="Q1394" t="str">
        <f>IF(COUNTIF($A$2:A1394,A1394)&gt;1,"Duplicate","Unique")</f>
        <v>Unique</v>
      </c>
      <c r="R1394" t="str">
        <f t="shared" si="126"/>
        <v>Valid</v>
      </c>
      <c r="S1394" t="str">
        <f t="shared" si="127"/>
        <v>Valid</v>
      </c>
      <c r="T1394" t="str">
        <f t="shared" si="128"/>
        <v>Valid</v>
      </c>
      <c r="U1394" t="str">
        <f t="shared" si="129"/>
        <v>Valid</v>
      </c>
      <c r="V1394" t="str">
        <f t="shared" si="130"/>
        <v>Valid</v>
      </c>
      <c r="W1394" t="str">
        <f t="shared" si="131"/>
        <v>Outlier</v>
      </c>
    </row>
    <row r="1395" spans="1:23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  <c r="Q1395" t="str">
        <f>IF(COUNTIF($A$2:A1395,A1395)&gt;1,"Duplicate","Unique")</f>
        <v>Unique</v>
      </c>
      <c r="R1395" t="str">
        <f t="shared" si="126"/>
        <v>Valid</v>
      </c>
      <c r="S1395" t="str">
        <f t="shared" si="127"/>
        <v>Valid</v>
      </c>
      <c r="T1395" t="str">
        <f t="shared" si="128"/>
        <v>Valid</v>
      </c>
      <c r="U1395" t="str">
        <f t="shared" si="129"/>
        <v>Valid</v>
      </c>
      <c r="V1395" t="str">
        <f t="shared" si="130"/>
        <v>Valid</v>
      </c>
      <c r="W1395" t="str">
        <f t="shared" si="131"/>
        <v>Outlier</v>
      </c>
    </row>
    <row r="1396" spans="1:23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  <c r="Q1396" t="str">
        <f>IF(COUNTIF($A$2:A1396,A1396)&gt;1,"Duplicate","Unique")</f>
        <v>Unique</v>
      </c>
      <c r="R1396" t="str">
        <f t="shared" si="126"/>
        <v>Valid</v>
      </c>
      <c r="S1396" t="str">
        <f t="shared" si="127"/>
        <v>Valid</v>
      </c>
      <c r="T1396" t="str">
        <f t="shared" si="128"/>
        <v>Valid</v>
      </c>
      <c r="U1396" t="str">
        <f t="shared" si="129"/>
        <v>Valid</v>
      </c>
      <c r="V1396" t="str">
        <f t="shared" si="130"/>
        <v>Valid</v>
      </c>
      <c r="W1396" t="str">
        <f t="shared" si="131"/>
        <v>Outlier</v>
      </c>
    </row>
    <row r="1397" spans="1:23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  <c r="Q1397" t="str">
        <f>IF(COUNTIF($A$2:A1397,A1397)&gt;1,"Duplicate","Unique")</f>
        <v>Unique</v>
      </c>
      <c r="R1397" t="str">
        <f t="shared" si="126"/>
        <v>Valid</v>
      </c>
      <c r="S1397" t="str">
        <f t="shared" si="127"/>
        <v>Valid</v>
      </c>
      <c r="T1397" t="str">
        <f t="shared" si="128"/>
        <v>Valid</v>
      </c>
      <c r="U1397" t="str">
        <f t="shared" si="129"/>
        <v>Valid</v>
      </c>
      <c r="V1397" t="str">
        <f t="shared" si="130"/>
        <v>Valid</v>
      </c>
      <c r="W1397" t="str">
        <f t="shared" si="131"/>
        <v>Outlier</v>
      </c>
    </row>
    <row r="1398" spans="1:23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  <c r="Q1398" t="str">
        <f>IF(COUNTIF($A$2:A1398,A1398)&gt;1,"Duplicate","Unique")</f>
        <v>Unique</v>
      </c>
      <c r="R1398" t="str">
        <f t="shared" si="126"/>
        <v>Valid</v>
      </c>
      <c r="S1398" t="str">
        <f t="shared" si="127"/>
        <v>Valid</v>
      </c>
      <c r="T1398" t="str">
        <f t="shared" si="128"/>
        <v>Valid</v>
      </c>
      <c r="U1398" t="str">
        <f t="shared" si="129"/>
        <v>Valid</v>
      </c>
      <c r="V1398" t="str">
        <f t="shared" si="130"/>
        <v>Valid</v>
      </c>
      <c r="W1398" t="str">
        <f t="shared" si="131"/>
        <v>Outlier</v>
      </c>
    </row>
    <row r="1399" spans="1:23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  <c r="Q1399" t="str">
        <f>IF(COUNTIF($A$2:A1399,A1399)&gt;1,"Duplicate","Unique")</f>
        <v>Unique</v>
      </c>
      <c r="R1399" t="str">
        <f t="shared" si="126"/>
        <v>Valid</v>
      </c>
      <c r="S1399" t="str">
        <f t="shared" si="127"/>
        <v>Valid</v>
      </c>
      <c r="T1399" t="str">
        <f t="shared" si="128"/>
        <v>Valid</v>
      </c>
      <c r="U1399" t="str">
        <f t="shared" si="129"/>
        <v>Valid</v>
      </c>
      <c r="V1399" t="str">
        <f t="shared" si="130"/>
        <v>Valid</v>
      </c>
      <c r="W1399" t="str">
        <f t="shared" si="131"/>
        <v>Outlier</v>
      </c>
    </row>
    <row r="1400" spans="1:23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  <c r="Q1400" t="str">
        <f>IF(COUNTIF($A$2:A1400,A1400)&gt;1,"Duplicate","Unique")</f>
        <v>Unique</v>
      </c>
      <c r="R1400" t="str">
        <f t="shared" si="126"/>
        <v>Valid</v>
      </c>
      <c r="S1400" t="str">
        <f t="shared" si="127"/>
        <v>Valid</v>
      </c>
      <c r="T1400" t="str">
        <f t="shared" si="128"/>
        <v>Valid</v>
      </c>
      <c r="U1400" t="str">
        <f t="shared" si="129"/>
        <v>Valid</v>
      </c>
      <c r="V1400" t="str">
        <f t="shared" si="130"/>
        <v>Valid</v>
      </c>
      <c r="W1400" t="str">
        <f t="shared" si="131"/>
        <v>Outlier</v>
      </c>
    </row>
    <row r="1401" spans="1:23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  <c r="Q1401" t="str">
        <f>IF(COUNTIF($A$2:A1401,A1401)&gt;1,"Duplicate","Unique")</f>
        <v>Unique</v>
      </c>
      <c r="R1401" t="str">
        <f t="shared" si="126"/>
        <v>Valid</v>
      </c>
      <c r="S1401" t="str">
        <f t="shared" si="127"/>
        <v>Valid</v>
      </c>
      <c r="T1401" t="str">
        <f t="shared" si="128"/>
        <v>Valid</v>
      </c>
      <c r="U1401" t="str">
        <f t="shared" si="129"/>
        <v>Valid</v>
      </c>
      <c r="V1401" t="str">
        <f t="shared" si="130"/>
        <v>Valid</v>
      </c>
      <c r="W1401" t="str">
        <f t="shared" si="131"/>
        <v>Outlier</v>
      </c>
    </row>
    <row r="1402" spans="1:23">
      <c r="A1402" t="s">
        <v>949</v>
      </c>
      <c r="B1402" s="2">
        <v>45711</v>
      </c>
      <c r="C1402" t="s">
        <v>723</v>
      </c>
      <c r="D1402" t="s">
        <v>23</v>
      </c>
      <c r="E1402" t="s">
        <v>19</v>
      </c>
      <c r="F1402" t="s">
        <v>41</v>
      </c>
      <c r="G1402" t="s">
        <v>21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70.599999999999994</v>
      </c>
      <c r="Q1402" t="str">
        <f>IF(COUNTIF($A$2:A1402,A1402)&gt;1,"Duplicate","Unique")</f>
        <v>Duplicate</v>
      </c>
      <c r="R1402" t="str">
        <f t="shared" si="126"/>
        <v>Valid</v>
      </c>
      <c r="S1402" t="str">
        <f t="shared" si="127"/>
        <v>Valid</v>
      </c>
      <c r="T1402" t="str">
        <f t="shared" si="128"/>
        <v>Valid</v>
      </c>
      <c r="U1402" t="str">
        <f t="shared" si="129"/>
        <v>Valid</v>
      </c>
      <c r="V1402" t="str">
        <f t="shared" si="130"/>
        <v>Valid</v>
      </c>
      <c r="W1402" t="str">
        <f t="shared" si="131"/>
        <v>Outlier</v>
      </c>
    </row>
    <row r="1403" spans="1:23">
      <c r="A1403" t="s">
        <v>464</v>
      </c>
      <c r="B1403" s="2">
        <v>45691</v>
      </c>
      <c r="C1403" t="s">
        <v>17</v>
      </c>
      <c r="D1403" t="s">
        <v>18</v>
      </c>
      <c r="E1403" t="s">
        <v>34</v>
      </c>
      <c r="F1403" t="s">
        <v>20</v>
      </c>
      <c r="G1403" t="s">
        <v>21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  <c r="Q1403" t="str">
        <f>IF(COUNTIF($A$2:A1403,A1403)&gt;1,"Duplicate","Unique")</f>
        <v>Duplicate</v>
      </c>
      <c r="R1403" t="str">
        <f t="shared" si="126"/>
        <v>Valid</v>
      </c>
      <c r="S1403" t="str">
        <f t="shared" si="127"/>
        <v>Valid</v>
      </c>
      <c r="T1403" t="str">
        <f t="shared" si="128"/>
        <v>Valid</v>
      </c>
      <c r="U1403" t="str">
        <f t="shared" si="129"/>
        <v>Valid</v>
      </c>
      <c r="V1403" t="str">
        <f t="shared" si="130"/>
        <v>Valid</v>
      </c>
      <c r="W1403" t="str">
        <f t="shared" si="131"/>
        <v>Outlier</v>
      </c>
    </row>
    <row r="1404" spans="1:23">
      <c r="A1404" t="s">
        <v>1394</v>
      </c>
      <c r="B1404" s="2">
        <v>45800</v>
      </c>
      <c r="C1404" t="s">
        <v>723</v>
      </c>
      <c r="D1404" t="s">
        <v>28</v>
      </c>
      <c r="E1404" t="s">
        <v>24</v>
      </c>
      <c r="F1404" t="s">
        <v>25</v>
      </c>
      <c r="G1404" t="s">
        <v>21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  <c r="Q1404" t="str">
        <f>IF(COUNTIF($A$2:A1404,A1404)&gt;1,"Duplicate","Unique")</f>
        <v>Duplicate</v>
      </c>
      <c r="R1404" t="str">
        <f t="shared" si="126"/>
        <v>Valid</v>
      </c>
      <c r="S1404" t="str">
        <f t="shared" si="127"/>
        <v>Valid</v>
      </c>
      <c r="T1404" t="str">
        <f t="shared" si="128"/>
        <v>Valid</v>
      </c>
      <c r="U1404" t="str">
        <f t="shared" si="129"/>
        <v>Valid</v>
      </c>
      <c r="V1404" t="str">
        <f t="shared" si="130"/>
        <v>Valid</v>
      </c>
      <c r="W1404" t="str">
        <f t="shared" si="131"/>
        <v>Outlier</v>
      </c>
    </row>
    <row r="1405" spans="1:23">
      <c r="A1405" t="s">
        <v>127</v>
      </c>
      <c r="B1405" s="2">
        <v>45693</v>
      </c>
      <c r="C1405" t="s">
        <v>17</v>
      </c>
      <c r="D1405" t="s">
        <v>28</v>
      </c>
      <c r="E1405" t="s">
        <v>24</v>
      </c>
      <c r="F1405" t="s">
        <v>41</v>
      </c>
      <c r="G1405" t="s">
        <v>26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  <c r="Q1405" t="str">
        <f>IF(COUNTIF($A$2:A1405,A1405)&gt;1,"Duplicate","Unique")</f>
        <v>Duplicate</v>
      </c>
      <c r="R1405" t="str">
        <f t="shared" si="126"/>
        <v>Valid</v>
      </c>
      <c r="S1405" t="str">
        <f t="shared" si="127"/>
        <v>Valid</v>
      </c>
      <c r="T1405" t="str">
        <f t="shared" si="128"/>
        <v>Valid</v>
      </c>
      <c r="U1405" t="str">
        <f t="shared" si="129"/>
        <v>Valid</v>
      </c>
      <c r="V1405" t="str">
        <f t="shared" si="130"/>
        <v>Valid</v>
      </c>
      <c r="W1405" t="str">
        <f t="shared" si="131"/>
        <v>Outlier</v>
      </c>
    </row>
    <row r="1406" spans="1:23">
      <c r="A1406" t="s">
        <v>1242</v>
      </c>
      <c r="B1406" s="2">
        <v>45712</v>
      </c>
      <c r="C1406" t="s">
        <v>723</v>
      </c>
      <c r="D1406" t="s">
        <v>23</v>
      </c>
      <c r="E1406" t="s">
        <v>24</v>
      </c>
      <c r="F1406" t="s">
        <v>25</v>
      </c>
      <c r="G1406" t="s">
        <v>21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  <c r="Q1406" t="str">
        <f>IF(COUNTIF($A$2:A1406,A1406)&gt;1,"Duplicate","Unique")</f>
        <v>Duplicate</v>
      </c>
      <c r="R1406" t="str">
        <f t="shared" si="126"/>
        <v>Valid</v>
      </c>
      <c r="S1406" t="str">
        <f t="shared" si="127"/>
        <v>Valid</v>
      </c>
      <c r="T1406" t="str">
        <f t="shared" si="128"/>
        <v>Valid</v>
      </c>
      <c r="U1406" t="str">
        <f t="shared" si="129"/>
        <v>Valid</v>
      </c>
      <c r="V1406" t="str">
        <f t="shared" si="130"/>
        <v>Valid</v>
      </c>
      <c r="W1406" t="str">
        <f t="shared" si="131"/>
        <v>Outlier</v>
      </c>
    </row>
    <row r="1407" spans="1:23">
      <c r="A1407" t="s">
        <v>1264</v>
      </c>
      <c r="B1407" s="2">
        <v>45746</v>
      </c>
      <c r="C1407" t="s">
        <v>723</v>
      </c>
      <c r="D1407" t="s">
        <v>28</v>
      </c>
      <c r="E1407" t="s">
        <v>24</v>
      </c>
      <c r="F1407" t="s">
        <v>25</v>
      </c>
      <c r="G1407" t="s">
        <v>26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  <c r="Q1407" t="str">
        <f>IF(COUNTIF($A$2:A1407,A1407)&gt;1,"Duplicate","Unique")</f>
        <v>Duplicate</v>
      </c>
      <c r="R1407" t="str">
        <f t="shared" si="126"/>
        <v>Valid</v>
      </c>
      <c r="S1407" t="str">
        <f t="shared" si="127"/>
        <v>Valid</v>
      </c>
      <c r="T1407" t="str">
        <f t="shared" si="128"/>
        <v>Valid</v>
      </c>
      <c r="U1407" t="str">
        <f t="shared" si="129"/>
        <v>Valid</v>
      </c>
      <c r="V1407" t="str">
        <f t="shared" si="130"/>
        <v>Valid</v>
      </c>
      <c r="W1407" t="str">
        <f t="shared" si="131"/>
        <v>Outlier</v>
      </c>
    </row>
    <row r="1408" spans="1:23">
      <c r="A1408" t="s">
        <v>1091</v>
      </c>
      <c r="B1408" s="2">
        <v>45793</v>
      </c>
      <c r="C1408" t="s">
        <v>723</v>
      </c>
      <c r="D1408" t="s">
        <v>32</v>
      </c>
      <c r="E1408" t="s">
        <v>24</v>
      </c>
      <c r="F1408" t="s">
        <v>25</v>
      </c>
      <c r="G1408" t="s">
        <v>26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  <c r="Q1408" t="str">
        <f>IF(COUNTIF($A$2:A1408,A1408)&gt;1,"Duplicate","Unique")</f>
        <v>Duplicate</v>
      </c>
      <c r="R1408" t="str">
        <f t="shared" si="126"/>
        <v>Valid</v>
      </c>
      <c r="S1408" t="str">
        <f t="shared" si="127"/>
        <v>Valid</v>
      </c>
      <c r="T1408" t="str">
        <f t="shared" si="128"/>
        <v>Valid</v>
      </c>
      <c r="U1408" t="str">
        <f t="shared" si="129"/>
        <v>Valid</v>
      </c>
      <c r="V1408" t="str">
        <f t="shared" si="130"/>
        <v>Valid</v>
      </c>
      <c r="W1408" t="str">
        <f t="shared" si="131"/>
        <v>Outlier</v>
      </c>
    </row>
    <row r="1409" spans="1:23">
      <c r="A1409" t="s">
        <v>572</v>
      </c>
      <c r="B1409" s="2">
        <v>45799</v>
      </c>
      <c r="C1409" t="s">
        <v>17</v>
      </c>
      <c r="D1409" t="s">
        <v>18</v>
      </c>
      <c r="E1409" t="s">
        <v>24</v>
      </c>
      <c r="F1409" t="s">
        <v>29</v>
      </c>
      <c r="G1409" t="s">
        <v>21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  <c r="Q1409" t="str">
        <f>IF(COUNTIF($A$2:A1409,A1409)&gt;1,"Duplicate","Unique")</f>
        <v>Duplicate</v>
      </c>
      <c r="R1409" t="str">
        <f t="shared" si="126"/>
        <v>Valid</v>
      </c>
      <c r="S1409" t="str">
        <f t="shared" si="127"/>
        <v>Valid</v>
      </c>
      <c r="T1409" t="str">
        <f t="shared" si="128"/>
        <v>Valid</v>
      </c>
      <c r="U1409" t="str">
        <f t="shared" si="129"/>
        <v>Valid</v>
      </c>
      <c r="V1409" t="str">
        <f t="shared" si="130"/>
        <v>Valid</v>
      </c>
      <c r="W1409" t="str">
        <f t="shared" si="131"/>
        <v>Outlier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36F7-9C8F-4D0D-81AC-17F168438EAA}">
  <dimension ref="A1:E17"/>
  <sheetViews>
    <sheetView workbookViewId="0">
      <selection activeCell="J22" sqref="J22"/>
    </sheetView>
  </sheetViews>
  <sheetFormatPr defaultRowHeight="13.8"/>
  <sheetData>
    <row r="1" spans="1:5">
      <c r="A1" t="s">
        <v>1457</v>
      </c>
      <c r="B1">
        <f>COUNTA(experiment_data!A:A)-1</f>
        <v>1408</v>
      </c>
      <c r="D1" t="s">
        <v>1473</v>
      </c>
    </row>
    <row r="2" spans="1:5">
      <c r="A2" t="s">
        <v>1458</v>
      </c>
      <c r="B2">
        <f>COUNTIF(experiment_data!C:C,"Control")</f>
        <v>693</v>
      </c>
      <c r="D2" t="s">
        <v>1474</v>
      </c>
      <c r="E2">
        <f>_xlfn.QUARTILE.INC(experiment_data!L:L,1)</f>
        <v>0</v>
      </c>
    </row>
    <row r="3" spans="1:5">
      <c r="A3" t="s">
        <v>1459</v>
      </c>
      <c r="B3">
        <f>COUNTIF(experiment_data!C:C,"Treatment")</f>
        <v>715</v>
      </c>
      <c r="D3" t="s">
        <v>1475</v>
      </c>
      <c r="E3">
        <f>_xlfn.QUARTILE.INC(experiment_data!L:L,3)</f>
        <v>0</v>
      </c>
    </row>
    <row r="4" spans="1:5">
      <c r="A4" t="s">
        <v>1460</v>
      </c>
      <c r="B4">
        <f>COUNTBLANK(experiment_data!A2:A1409)</f>
        <v>0</v>
      </c>
      <c r="D4" t="s">
        <v>1476</v>
      </c>
      <c r="E4">
        <f>E3-E2</f>
        <v>0</v>
      </c>
    </row>
    <row r="5" spans="1:5">
      <c r="A5" t="s">
        <v>1461</v>
      </c>
      <c r="B5">
        <f>COUNTBLANK(experiment_data!D2:D1409)</f>
        <v>0</v>
      </c>
      <c r="D5" t="s">
        <v>1477</v>
      </c>
      <c r="E5">
        <f>E2-(1.5*E4)</f>
        <v>0</v>
      </c>
    </row>
    <row r="6" spans="1:5">
      <c r="A6" t="s">
        <v>1462</v>
      </c>
      <c r="B6">
        <f>COUNTBLANK(experiment_data!E2:E1409)</f>
        <v>18</v>
      </c>
      <c r="D6" t="s">
        <v>1478</v>
      </c>
      <c r="E6">
        <f>E3+(1.5*E4)</f>
        <v>0</v>
      </c>
    </row>
    <row r="7" spans="1:5">
      <c r="A7" t="s">
        <v>1463</v>
      </c>
      <c r="B7">
        <f>COUNTBLANK(experiment_data!F2:F1409)</f>
        <v>24</v>
      </c>
    </row>
    <row r="8" spans="1:5">
      <c r="A8" t="s">
        <v>1464</v>
      </c>
      <c r="B8">
        <f>COUNTBLANK(experiment_data!G2:G1409)</f>
        <v>0</v>
      </c>
    </row>
    <row r="9" spans="1:5">
      <c r="A9" t="s">
        <v>1465</v>
      </c>
      <c r="B9">
        <f>COUNTBLANK(experiment_data!L2:L1409)</f>
        <v>0</v>
      </c>
    </row>
    <row r="10" spans="1:5">
      <c r="A10" t="s">
        <v>1466</v>
      </c>
      <c r="B10">
        <f>COUNTBLANK(experiment_data!O2:O1409)</f>
        <v>1336</v>
      </c>
    </row>
    <row r="11" spans="1:5">
      <c r="A11" t="s">
        <v>1467</v>
      </c>
      <c r="B11">
        <f>COUNTBLANK(experiment_data!P2:P1409)</f>
        <v>14</v>
      </c>
    </row>
    <row r="12" spans="1:5">
      <c r="A12" t="s">
        <v>1468</v>
      </c>
      <c r="B12">
        <f>COUNTIF(experiment_data!Q:Q,"Duplicate")</f>
        <v>8</v>
      </c>
    </row>
    <row r="13" spans="1:5">
      <c r="A13" t="s">
        <v>1469</v>
      </c>
      <c r="B13">
        <f>COUNTIF(experiment_data!S:S,"Invalid")</f>
        <v>0</v>
      </c>
    </row>
    <row r="14" spans="1:5">
      <c r="A14" t="s">
        <v>1470</v>
      </c>
      <c r="B14">
        <f>COUNTIF(experiment_data!T:T,"Invalid")</f>
        <v>0</v>
      </c>
    </row>
    <row r="15" spans="1:5">
      <c r="A15" t="s">
        <v>1471</v>
      </c>
      <c r="B15">
        <f>COUNTIF(experiment_data!U:U,"Invalid")</f>
        <v>0</v>
      </c>
    </row>
    <row r="16" spans="1:5">
      <c r="A16" t="s">
        <v>1472</v>
      </c>
      <c r="B16">
        <f>COUNTIF(experiment_data!V:V,"Invalid")</f>
        <v>0</v>
      </c>
    </row>
    <row r="17" spans="1:2">
      <c r="A17" t="s">
        <v>1480</v>
      </c>
      <c r="B17">
        <f>COUNTIF(experiment_data!W:W,"Outlier")</f>
        <v>1408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7AF83-2F1E-4EFE-BCDA-E8906729145E}">
  <dimension ref="A1:E12"/>
  <sheetViews>
    <sheetView workbookViewId="0">
      <selection activeCell="F25" sqref="F25"/>
    </sheetView>
  </sheetViews>
  <sheetFormatPr defaultRowHeight="13.8"/>
  <sheetData>
    <row r="1" spans="1:5">
      <c r="A1" t="s">
        <v>1481</v>
      </c>
      <c r="C1" t="s">
        <v>17</v>
      </c>
      <c r="E1" t="s">
        <v>723</v>
      </c>
    </row>
    <row r="2" spans="1:5">
      <c r="A2" t="s">
        <v>1482</v>
      </c>
      <c r="C2">
        <f>COUNTIF(experiment_data!C:C,"Control")</f>
        <v>693</v>
      </c>
      <c r="E2">
        <f>COUNTIF(experiment_data!C:C,"Treatment")</f>
        <v>715</v>
      </c>
    </row>
    <row r="3" spans="1:5">
      <c r="A3" t="s">
        <v>1483</v>
      </c>
      <c r="C3">
        <f>COUNTIFS(experiment_data!C:C,"Control",experiment_data!H:H,1)/COUNTIF(experiment_data!C:C,"Control")</f>
        <v>0.63636363636363635</v>
      </c>
      <c r="E3">
        <f>COUNTIFS(experiment_data!C:C,"Treatment",experiment_data!H:H,1)/COUNTIF(experiment_data!C:C,"Treatment")</f>
        <v>0.72587412587412592</v>
      </c>
    </row>
    <row r="4" spans="1:5">
      <c r="A4" t="s">
        <v>1484</v>
      </c>
      <c r="C4">
        <f>COUNTIFS(experiment_data!C:C,"Control",experiment_data!I:I,1)/COUNTIF(experiment_data!C:C,"Control")</f>
        <v>0.25108225108225107</v>
      </c>
      <c r="E4">
        <f>COUNTIFS(experiment_data!C:C,"Treatment",experiment_data!I:I,1)/COUNTIF(experiment_data!C:C,"Treatment")</f>
        <v>0.29090909090909089</v>
      </c>
    </row>
    <row r="5" spans="1:5">
      <c r="A5" t="s">
        <v>1485</v>
      </c>
      <c r="C5">
        <f>COUNTIFS(experiment_data!C:C,"Control",experiment_data!J:J,1)/COUNTIF(experiment_data!C:C,"Control")</f>
        <v>0.15584415584415584</v>
      </c>
      <c r="E5">
        <f>COUNTIFS(experiment_data!C:C,"Treatment",experiment_data!J:J,1)/COUNTIF(experiment_data!C:C,"Treatment")</f>
        <v>0.21258741258741259</v>
      </c>
    </row>
    <row r="6" spans="1:5">
      <c r="A6" t="s">
        <v>1486</v>
      </c>
      <c r="C6">
        <f>COUNTIFS(experiment_data!C:C,"Control",experiment_data!K:K,1)/COUNTIF(experiment_data!C:C,"Control")</f>
        <v>3.1746031746031744E-2</v>
      </c>
      <c r="E6">
        <f>COUNTIFS(experiment_data!C:C,"Treatment",experiment_data!K:K,1)/COUNTIF(experiment_data!C:C,"Treatment")</f>
        <v>6.9930069930069935E-2</v>
      </c>
    </row>
    <row r="7" spans="1:5">
      <c r="A7" t="s">
        <v>1487</v>
      </c>
      <c r="C7">
        <f>SUMIFS(experiment_data!L:L,experiment_data!C:C,"Control")/COUNTIF(experiment_data!C:C,"Control")</f>
        <v>51.74932178932179</v>
      </c>
      <c r="E7">
        <f>SUMIFS(experiment_data!L:L,experiment_data!C:C,"Treatment")/COUNTIF(experiment_data!C:C,"Treatment")</f>
        <v>53.875118881118873</v>
      </c>
    </row>
    <row r="8" spans="1:5">
      <c r="A8" t="s">
        <v>1488</v>
      </c>
      <c r="C8">
        <f>SUMIFS(experiment_data!L:L,experiment_data!C:C,"Control")/COUNTIFS(experiment_data!C:C,"Control",experiment_data!K:K,1)</f>
        <v>1630.1036363636363</v>
      </c>
      <c r="E8">
        <f>SUMIFS(experiment_data!L:L,experiment_data!C:C,"Treatment")/COUNTIFS(experiment_data!C:C,"Treatment",experiment_data!K:K,1)</f>
        <v>770.41419999999982</v>
      </c>
    </row>
    <row r="9" spans="1:5">
      <c r="A9" t="s">
        <v>1489</v>
      </c>
      <c r="C9">
        <f>COUNTIFS(experiment_data!C:C,"Control",experiment_data!N:N,1)/COUNTIF(experiment_data!C:C,"Control")</f>
        <v>0</v>
      </c>
      <c r="E9">
        <f>COUNTIFS(experiment_data!C:C,"Treatment",experiment_data!N:N,1)/COUNTIF(experiment_data!C:C,"Treatment")</f>
        <v>4.1958041958041958E-3</v>
      </c>
    </row>
    <row r="10" spans="1:5">
      <c r="A10" t="s">
        <v>1490</v>
      </c>
      <c r="C10">
        <f>AVERAGEIFS(experiment_data!M:M,experiment_data!C:C,"Control")</f>
        <v>0.21933621933621933</v>
      </c>
      <c r="E10">
        <f>AVERAGEIFS(experiment_data!M:M,experiment_data!C:C,"Treatment")</f>
        <v>0.37202797202797205</v>
      </c>
    </row>
    <row r="11" spans="1:5">
      <c r="A11" t="s">
        <v>1491</v>
      </c>
      <c r="C11">
        <f>AVERAGEIFS(experiment_data!P:P,experiment_data!C:C,"Control")</f>
        <v>57.026200873362491</v>
      </c>
      <c r="E11">
        <f>AVERAGEIFS(experiment_data!P:P,experiment_data!C:C,"Treatment")</f>
        <v>62.931966053748233</v>
      </c>
    </row>
    <row r="12" spans="1:5">
      <c r="A12" t="s">
        <v>1492</v>
      </c>
      <c r="C12">
        <f>AVERAGEIFS(experiment_data!O:O,experiment_data!C:C,"Control",experiment_data!K:K,1)</f>
        <v>8.8636363636363633</v>
      </c>
      <c r="E12">
        <f>AVERAGEIFS(experiment_data!O:O,experiment_data!C:C,"Treatment",experiment_data!K:K,1)</f>
        <v>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843F-3C62-43DA-95C9-E1A1400DECD3}">
  <dimension ref="A1:D20"/>
  <sheetViews>
    <sheetView workbookViewId="0">
      <selection activeCell="H29" sqref="H29"/>
    </sheetView>
  </sheetViews>
  <sheetFormatPr defaultRowHeight="13.8"/>
  <sheetData>
    <row r="1" spans="1:4">
      <c r="A1" t="s">
        <v>1493</v>
      </c>
      <c r="D1" t="s">
        <v>1497</v>
      </c>
    </row>
    <row r="2" spans="1:4">
      <c r="A2">
        <f>COUNTIFS(experiment_data!C:C,"Control",experiment_data!K:K,1)</f>
        <v>22</v>
      </c>
      <c r="D2">
        <f>A2/A6</f>
        <v>3.1746031746031744E-2</v>
      </c>
    </row>
    <row r="3" spans="1:4">
      <c r="A3" t="s">
        <v>1494</v>
      </c>
    </row>
    <row r="4" spans="1:4">
      <c r="A4">
        <f>COUNTIFS(experiment_data!C:C,"Treatment",experiment_data!K:K,1)</f>
        <v>50</v>
      </c>
      <c r="D4" t="s">
        <v>1498</v>
      </c>
    </row>
    <row r="5" spans="1:4">
      <c r="A5" t="s">
        <v>1495</v>
      </c>
      <c r="D5">
        <f>A4/A8</f>
        <v>6.9930069930069935E-2</v>
      </c>
    </row>
    <row r="6" spans="1:4">
      <c r="A6">
        <f>COUNTIF(experiment_data!C:C,"Control")</f>
        <v>693</v>
      </c>
    </row>
    <row r="7" spans="1:4">
      <c r="A7" t="s">
        <v>1496</v>
      </c>
      <c r="D7" t="s">
        <v>1499</v>
      </c>
    </row>
    <row r="8" spans="1:4">
      <c r="A8">
        <f>COUNTIF(experiment_data!C:C,"Treatment")</f>
        <v>715</v>
      </c>
      <c r="D8">
        <f>(A2+A4)/(A6+A8)</f>
        <v>5.113636363636364E-2</v>
      </c>
    </row>
    <row r="10" spans="1:4">
      <c r="D10" t="s">
        <v>1500</v>
      </c>
    </row>
    <row r="11" spans="1:4">
      <c r="D11">
        <f>SQRT(D8*(1-D8)*((1/A6)+(1/A8)))</f>
        <v>1.1742174001237782E-2</v>
      </c>
    </row>
    <row r="13" spans="1:4">
      <c r="D13" t="s">
        <v>1501</v>
      </c>
    </row>
    <row r="15" spans="1:4">
      <c r="D15">
        <f>(D5-D2)/D11</f>
        <v>3.2518712616601562</v>
      </c>
    </row>
    <row r="16" spans="1:4">
      <c r="D16" t="s">
        <v>1502</v>
      </c>
    </row>
    <row r="17" spans="4:4">
      <c r="D17">
        <f>1-_xlfn.NORM.S.DIST(D15,TRUE)</f>
        <v>5.7323968694367178E-4</v>
      </c>
    </row>
    <row r="19" spans="4:4">
      <c r="D19" t="s">
        <v>1503</v>
      </c>
    </row>
    <row r="20" spans="4:4">
      <c r="D20" t="str">
        <f>IF(D17&lt;0.05,"Reject Null Hypothesis","Fail to Reject Null Hypothesis")</f>
        <v>Reject Null Hypothesis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3812-122E-40B5-9799-19BA01CA828C}">
  <dimension ref="A3:D9"/>
  <sheetViews>
    <sheetView tabSelected="1" workbookViewId="0">
      <selection activeCell="C19" sqref="C19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28</v>
      </c>
      <c r="B5">
        <v>2.5316455696202531E-2</v>
      </c>
      <c r="C5">
        <v>6.3953488372093026E-2</v>
      </c>
      <c r="D5">
        <v>4.5454545454545456E-2</v>
      </c>
    </row>
    <row r="6" spans="1:4">
      <c r="A6" s="5" t="s">
        <v>18</v>
      </c>
      <c r="B6">
        <v>3.4482758620689655E-2</v>
      </c>
      <c r="C6">
        <v>8.8888888888888892E-2</v>
      </c>
      <c r="D6">
        <v>6.0052219321148827E-2</v>
      </c>
    </row>
    <row r="7" spans="1:4">
      <c r="A7" s="5" t="s">
        <v>32</v>
      </c>
      <c r="B7">
        <v>3.2608695652173912E-2</v>
      </c>
      <c r="C7">
        <v>7.6086956521739135E-2</v>
      </c>
      <c r="D7">
        <v>5.434782608695652E-2</v>
      </c>
    </row>
    <row r="8" spans="1:4">
      <c r="A8" s="5" t="s">
        <v>23</v>
      </c>
      <c r="B8">
        <v>3.3783783783783786E-2</v>
      </c>
      <c r="C8">
        <v>5.027932960893855E-2</v>
      </c>
      <c r="D8">
        <v>4.2813455657492352E-2</v>
      </c>
    </row>
    <row r="9" spans="1:4">
      <c r="A9" s="5" t="s">
        <v>1505</v>
      </c>
      <c r="B9">
        <v>3.1746031746031744E-2</v>
      </c>
      <c r="C9">
        <v>6.9930069930069935E-2</v>
      </c>
      <c r="D9">
        <v>5.113636363636364E-2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0E551-C9A8-4CAE-A38C-8530C2031BFE}">
  <dimension ref="A3:D9"/>
  <sheetViews>
    <sheetView workbookViewId="0">
      <selection activeCell="C21" sqref="C21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  <col min="5" max="5" width="11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19</v>
      </c>
      <c r="B5">
        <v>4.4999999999999998E-2</v>
      </c>
      <c r="C5">
        <v>6.5420560747663545E-2</v>
      </c>
      <c r="D5">
        <v>5.5555555555555552E-2</v>
      </c>
    </row>
    <row r="6" spans="1:4">
      <c r="A6" s="5" t="s">
        <v>24</v>
      </c>
      <c r="B6">
        <v>2.5700934579439252E-2</v>
      </c>
      <c r="C6">
        <v>7.3394495412844041E-2</v>
      </c>
      <c r="D6">
        <v>4.9768518518518517E-2</v>
      </c>
    </row>
    <row r="7" spans="1:4">
      <c r="A7" s="5" t="s">
        <v>34</v>
      </c>
      <c r="B7">
        <v>1.7857142857142856E-2</v>
      </c>
      <c r="C7">
        <v>7.1428571428571425E-2</v>
      </c>
      <c r="D7">
        <v>4.4642857142857144E-2</v>
      </c>
    </row>
    <row r="8" spans="1:4">
      <c r="A8" s="5" t="s">
        <v>1508</v>
      </c>
      <c r="B8">
        <v>0.1111111111111111</v>
      </c>
      <c r="C8">
        <v>0</v>
      </c>
      <c r="D8">
        <v>5.5555555555555552E-2</v>
      </c>
    </row>
    <row r="9" spans="1:4">
      <c r="A9" s="5" t="s">
        <v>1505</v>
      </c>
      <c r="B9">
        <v>3.1746031746031744E-2</v>
      </c>
      <c r="C9">
        <v>6.9930069930069935E-2</v>
      </c>
      <c r="D9">
        <v>5.113636363636364E-2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E165D-09C7-4780-B9FB-44CA3FA0DC95}">
  <dimension ref="A3:D11"/>
  <sheetViews>
    <sheetView workbookViewId="0">
      <selection activeCell="C18" sqref="C18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20</v>
      </c>
      <c r="B5">
        <v>2.7027027027027029E-2</v>
      </c>
      <c r="C5">
        <v>7.1428571428571425E-2</v>
      </c>
      <c r="D5">
        <v>4.6153846153846156E-2</v>
      </c>
    </row>
    <row r="6" spans="1:4">
      <c r="A6" s="5" t="s">
        <v>25</v>
      </c>
      <c r="B6">
        <v>2.032520325203252E-2</v>
      </c>
      <c r="C6">
        <v>6.2240663900414939E-2</v>
      </c>
      <c r="D6">
        <v>4.1067761806981518E-2</v>
      </c>
    </row>
    <row r="7" spans="1:4">
      <c r="A7" s="5" t="s">
        <v>29</v>
      </c>
      <c r="B7">
        <v>1.282051282051282E-2</v>
      </c>
      <c r="C7">
        <v>6.25E-2</v>
      </c>
      <c r="D7">
        <v>3.9156626506024098E-2</v>
      </c>
    </row>
    <row r="8" spans="1:4">
      <c r="A8" s="5" t="s">
        <v>39</v>
      </c>
      <c r="B8">
        <v>2.4691358024691357E-2</v>
      </c>
      <c r="C8">
        <v>0.10989010989010989</v>
      </c>
      <c r="D8">
        <v>6.9767441860465115E-2</v>
      </c>
    </row>
    <row r="9" spans="1:4">
      <c r="A9" s="5" t="s">
        <v>41</v>
      </c>
      <c r="B9">
        <v>7.6923076923076927E-2</v>
      </c>
      <c r="C9">
        <v>6.0150375939849621E-2</v>
      </c>
      <c r="D9">
        <v>6.8441064638783272E-2</v>
      </c>
    </row>
    <row r="10" spans="1:4">
      <c r="A10" s="5" t="s">
        <v>1508</v>
      </c>
      <c r="B10">
        <v>0.16666666666666666</v>
      </c>
      <c r="C10">
        <v>0.1111111111111111</v>
      </c>
      <c r="D10">
        <v>0.125</v>
      </c>
    </row>
    <row r="11" spans="1:4">
      <c r="A11" s="5" t="s">
        <v>1505</v>
      </c>
      <c r="B11">
        <v>3.1746031746031744E-2</v>
      </c>
      <c r="C11">
        <v>6.9930069930069935E-2</v>
      </c>
      <c r="D11">
        <v>5.113636363636364E-2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0110B-589B-48BA-ADD3-F77BB01DD477}">
  <dimension ref="A3:D8"/>
  <sheetViews>
    <sheetView workbookViewId="0">
      <selection activeCell="C20" sqref="C20"/>
    </sheetView>
  </sheetViews>
  <sheetFormatPr defaultRowHeight="13.8"/>
  <cols>
    <col min="1" max="1" width="27.69921875" bestFit="1" customWidth="1"/>
    <col min="2" max="2" width="16.09765625" bestFit="1" customWidth="1"/>
    <col min="3" max="4" width="11.8984375" bestFit="1" customWidth="1"/>
  </cols>
  <sheetData>
    <row r="3" spans="1:4">
      <c r="A3" s="4" t="s">
        <v>1507</v>
      </c>
      <c r="B3" s="4" t="s">
        <v>1506</v>
      </c>
    </row>
    <row r="4" spans="1:4">
      <c r="A4" s="4" t="s">
        <v>1504</v>
      </c>
      <c r="B4" t="s">
        <v>17</v>
      </c>
      <c r="C4" t="s">
        <v>723</v>
      </c>
      <c r="D4" t="s">
        <v>1505</v>
      </c>
    </row>
    <row r="5" spans="1:4">
      <c r="A5" s="5" t="s">
        <v>21</v>
      </c>
      <c r="B5">
        <v>3.5874439461883408E-2</v>
      </c>
      <c r="C5">
        <v>3.8297872340425532E-2</v>
      </c>
      <c r="D5">
        <v>3.7117903930131008E-2</v>
      </c>
    </row>
    <row r="6" spans="1:4">
      <c r="A6" s="5" t="s">
        <v>26</v>
      </c>
      <c r="B6">
        <v>3.0470914127423823E-2</v>
      </c>
      <c r="C6">
        <v>9.2391304347826081E-2</v>
      </c>
      <c r="D6">
        <v>6.1728395061728392E-2</v>
      </c>
    </row>
    <row r="7" spans="1:4">
      <c r="A7" s="5" t="s">
        <v>30</v>
      </c>
      <c r="B7">
        <v>2.7522935779816515E-2</v>
      </c>
      <c r="C7">
        <v>6.25E-2</v>
      </c>
      <c r="D7">
        <v>4.5248868778280542E-2</v>
      </c>
    </row>
    <row r="8" spans="1:4">
      <c r="A8" s="5" t="s">
        <v>1505</v>
      </c>
      <c r="B8">
        <v>3.1746031746031744E-2</v>
      </c>
      <c r="C8">
        <v>6.9930069930069935E-2</v>
      </c>
      <c r="D8">
        <v>5.113636363636364E-2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experiment_data</vt:lpstr>
      <vt:lpstr>Data_Quality_Check</vt:lpstr>
      <vt:lpstr>Summary_Metrics</vt:lpstr>
      <vt:lpstr>Segment_Analysis</vt:lpstr>
      <vt:lpstr>Region Conversion Analysis</vt:lpstr>
      <vt:lpstr>Device Type Conversion Analysis</vt:lpstr>
      <vt:lpstr>Traffic Source Conversion Analy</vt:lpstr>
      <vt:lpstr>Plan Type Conversion Analysis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 yadav</dc:creator>
  <cp:lastModifiedBy>shwet yadav</cp:lastModifiedBy>
  <dcterms:created xsi:type="dcterms:W3CDTF">2026-06-28T10:47:20Z</dcterms:created>
  <dcterms:modified xsi:type="dcterms:W3CDTF">2026-06-28T15:40:08Z</dcterms:modified>
</cp:coreProperties>
</file>